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aru\Desktop\Data\Projects\External sector\"/>
    </mc:Choice>
  </mc:AlternateContent>
  <xr:revisionPtr revIDLastSave="0" documentId="13_ncr:1_{7ED4D887-A6E9-4657-9170-E4E86D16F9F9}" xr6:coauthVersionLast="47" xr6:coauthVersionMax="47" xr10:uidLastSave="{00000000-0000-0000-0000-000000000000}"/>
  <workbookProtection workbookAlgorithmName="SHA-512" workbookHashValue="7+dFah+c9yOx9BkdsG6HcBGZblG39M1VKMXs544deKwcC1CoNhUTnQVNBbJJ0Drlu9Uk3QOxLG97a7CsiKEbpQ==" workbookSaltValue="yDXQzdB+6G+b/5qlqP52+g==" workbookSpinCount="100000" lockStructure="1"/>
  <bookViews>
    <workbookView xWindow="-110" yWindow="-110" windowWidth="19420" windowHeight="11500" firstSheet="1" activeTab="5" xr2:uid="{838F3165-34E3-430F-B50D-D8CACB382258}"/>
  </bookViews>
  <sheets>
    <sheet name="forex_info" sheetId="2" r:id="rId1"/>
    <sheet name="Forex_info visualization" sheetId="1" r:id="rId2"/>
    <sheet name="FDI_countries" sheetId="9" r:id="rId3"/>
    <sheet name="fdi_of_country (2)" sheetId="6" state="hidden" r:id="rId4"/>
    <sheet name="final_trade (2)" sheetId="12" r:id="rId5"/>
    <sheet name="Trade item visuals" sheetId="19" r:id="rId6"/>
    <sheet name="trading balance" sheetId="17" r:id="rId7"/>
  </sheets>
  <definedNames>
    <definedName name="_xlcn.WorksheetConnection_Finaldata.xlsxfdi_of_country1" hidden="1">fdi_of_country[]</definedName>
    <definedName name="ExternalData_1" localSheetId="4" hidden="1">'final_trade (2)'!$A$1:$Z$99</definedName>
    <definedName name="ExternalData_1" localSheetId="0" hidden="1">forex_info!$A$1:$L$37</definedName>
    <definedName name="ExternalData_2" localSheetId="3" hidden="1">'fdi_of_country (2)'!$A$1:$I$11</definedName>
    <definedName name="Slicer_Country">#N/A</definedName>
    <definedName name="Slicer_Month">#N/A</definedName>
    <definedName name="Slicer_MONTH1">#N/A</definedName>
    <definedName name="Slicer_Year">#N/A</definedName>
    <definedName name="Slicer_YEAR1">#N/A</definedName>
    <definedName name="solver_eng" localSheetId="6" hidden="1">1</definedName>
    <definedName name="solver_neg" localSheetId="6" hidden="1">1</definedName>
    <definedName name="solver_num" localSheetId="6" hidden="1">0</definedName>
    <definedName name="solver_opt" localSheetId="6" hidden="1">'trading balance'!$H$10</definedName>
    <definedName name="solver_typ" localSheetId="6" hidden="1">1</definedName>
    <definedName name="solver_val" localSheetId="6" hidden="1">0</definedName>
    <definedName name="solver_ver" localSheetId="6" hidden="1">3</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4" r:id="rId15"/>
      </x15:pivotCaches>
    </ext>
    <ext xmlns:x15="http://schemas.microsoft.com/office/spreadsheetml/2010/11/main" uri="{983426D0-5260-488c-9760-48F4B6AC55F4}">
      <x15:pivotTableReferences>
        <x15:pivotTableReference r:id="rId16"/>
      </x15:pivotTableReferences>
    </ext>
    <ext xmlns:x15="http://schemas.microsoft.com/office/spreadsheetml/2010/11/main" uri="{46BE6895-7355-4a93-B00E-2C351335B9C9}">
      <x15:slicerCaches xmlns:x14="http://schemas.microsoft.com/office/spreadsheetml/2009/9/main">
        <x14:slicerCache r:id="rId17"/>
        <x14:slicerCache r:id="rId1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di_of_country_0dcb74fa-2fa1-43e7-acb1-9c296b98bbbb" name="fdi_of_country" connection="Query - fdi_of_country"/>
          <x15:modelTable id="trade_balance_961890e0-fd4f-49f4-a4e1-6ffee29cf5ae" name="trade_balance" connection="Query - trade_balance"/>
          <x15:modelTable id="fdi_of_country 1" name="fdi_of_country 1" connection="WorksheetConnection_Final data.xlsx!fdi_of_country"/>
        </x15:modelTables>
        <x15:modelRelationships>
          <x15:modelRelationship fromTable="fdi_of_country 1" fromColumn="Country" toTable="fdi_of_country" toColumn="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7" i="6"/>
  <c r="I9" i="6"/>
  <c r="I6" i="6"/>
  <c r="I10" i="6"/>
  <c r="I8" i="6"/>
  <c r="I11" i="6"/>
  <c r="I2" i="6"/>
  <c r="B71"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0DEFA9-A983-4604-B288-2A22DFAD128A}" keepAlive="1" name="ModelConnection_ExternalData_2" description="Data Model" type="5" refreshedVersion="8" minRefreshableVersion="5" saveData="1">
    <dbPr connection="Data Model Connection" command="fdi_of_country" commandType="3"/>
    <extLst>
      <ext xmlns:x15="http://schemas.microsoft.com/office/spreadsheetml/2010/11/main" uri="{DE250136-89BD-433C-8126-D09CA5730AF9}">
        <x15:connection id="" model="1"/>
      </ext>
    </extLst>
  </connection>
  <connection id="2" xr16:uid="{FF9D88D8-A21C-47E8-9A18-CFDF33D7C7CB}" name="Query - fdi_of_country" description="Connection to the 'fdi_of_country' query in the workbook." type="100" refreshedVersion="8" minRefreshableVersion="5">
    <extLst>
      <ext xmlns:x15="http://schemas.microsoft.com/office/spreadsheetml/2010/11/main" uri="{DE250136-89BD-433C-8126-D09CA5730AF9}">
        <x15:connection id="e06bdde3-6c4b-474b-a731-75cbf49df76b"/>
      </ext>
    </extLst>
  </connection>
  <connection id="3" xr16:uid="{9884B0AE-44ED-4459-ACED-CFB84CC17404}" keepAlive="1" name="Query - fdi_of_country (2)" description="Connection to the 'fdi_of_country (2)' query in the workbook." type="5" refreshedVersion="8" background="1" saveData="1">
    <dbPr connection="Provider=Microsoft.Mashup.OleDb.1;Data Source=$Workbook$;Location=&quot;fdi_of_country (2)&quot;;Extended Properties=&quot;&quot;" command="SELECT * FROM [fdi_of_country (2)]"/>
  </connection>
  <connection id="4" xr16:uid="{1384F616-A554-46CA-844D-9F3505FAD728}" keepAlive="1" name="Query - final_trade" description="Connection to the 'final_trade' query in the workbook." type="5" refreshedVersion="8" background="1" saveData="1">
    <dbPr connection="Provider=Microsoft.Mashup.OleDb.1;Data Source=$Workbook$;Location=final_trade;Extended Properties=&quot;&quot;" command="SELECT * FROM [final_trade]"/>
  </connection>
  <connection id="5" xr16:uid="{BBDABB46-776B-40E4-88E8-6CBB4057DE39}" keepAlive="1" name="Query - final_trade (2)" description="Connection to the 'final_trade (2)' query in the workbook." type="5" refreshedVersion="8" background="1" saveData="1">
    <dbPr connection="Provider=Microsoft.Mashup.OleDb.1;Data Source=$Workbook$;Location=&quot;final_trade (2)&quot;;Extended Properties=&quot;&quot;" command="SELECT * FROM [final_trade (2)]"/>
  </connection>
  <connection id="6" xr16:uid="{FB6C9E37-578C-4A9D-AFE0-535EBB771354}" keepAlive="1" name="Query - forex_info" description="Connection to the 'forex_info' query in the workbook." type="5" refreshedVersion="8" background="1" saveData="1">
    <dbPr connection="Provider=Microsoft.Mashup.OleDb.1;Data Source=$Workbook$;Location=forex_info;Extended Properties=&quot;&quot;" command="SELECT * FROM [forex_info]"/>
  </connection>
  <connection id="7" xr16:uid="{C16315C7-073C-4783-BF7C-AC230951F137}" name="Query - trade_balance" description="Connection to the 'trade_balance' query in the workbook." type="100" refreshedVersion="8" minRefreshableVersion="5">
    <extLst>
      <ext xmlns:x15="http://schemas.microsoft.com/office/spreadsheetml/2010/11/main" uri="{DE250136-89BD-433C-8126-D09CA5730AF9}">
        <x15:connection id="97a6d53f-6b9f-44ac-9fb5-1f3c0f8e81da"/>
      </ext>
    </extLst>
  </connection>
  <connection id="8" xr16:uid="{277726FB-0201-4448-9BB5-58C8933858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1124AF2-B59F-4C64-95FB-5CFA6AF5841C}" name="WorksheetConnection_Final data.xlsx!fdi_of_country" type="102" refreshedVersion="8" minRefreshableVersion="5">
    <extLst>
      <ext xmlns:x15="http://schemas.microsoft.com/office/spreadsheetml/2010/11/main" uri="{DE250136-89BD-433C-8126-D09CA5730AF9}">
        <x15:connection id="fdi_of_country 1">
          <x15:rangePr sourceName="_xlcn.WorksheetConnection_Finaldata.xlsxfdi_of_country1"/>
        </x15:connection>
      </ext>
    </extLst>
  </connection>
</connections>
</file>

<file path=xl/sharedStrings.xml><?xml version="1.0" encoding="utf-8"?>
<sst xmlns="http://schemas.openxmlformats.org/spreadsheetml/2006/main" count="308" uniqueCount="183">
  <si>
    <t>Year</t>
  </si>
  <si>
    <t>Month</t>
  </si>
  <si>
    <t>Foreign_Currency_Assets</t>
  </si>
  <si>
    <t>Gold</t>
  </si>
  <si>
    <t>Reserve_Tranche_Position</t>
  </si>
  <si>
    <t>SDRs</t>
  </si>
  <si>
    <t>Total_forex</t>
  </si>
  <si>
    <t>previous_month_Forex</t>
  </si>
  <si>
    <t>Deviation_in_FDI</t>
  </si>
  <si>
    <t>Percent_change</t>
  </si>
  <si>
    <t>FDI_Equity_inflow</t>
  </si>
  <si>
    <t>FDI_Equity_as_percent_of_totalForex</t>
  </si>
  <si>
    <t>2023_24</t>
  </si>
  <si>
    <t>APR</t>
  </si>
  <si>
    <t>MAY</t>
  </si>
  <si>
    <t>JUN</t>
  </si>
  <si>
    <t>JUL</t>
  </si>
  <si>
    <t>AUG</t>
  </si>
  <si>
    <t>SEP</t>
  </si>
  <si>
    <t>OCT</t>
  </si>
  <si>
    <t>NOV</t>
  </si>
  <si>
    <t>DEC</t>
  </si>
  <si>
    <t>JAN</t>
  </si>
  <si>
    <t>FEB</t>
  </si>
  <si>
    <t>MAR</t>
  </si>
  <si>
    <t>2024_25</t>
  </si>
  <si>
    <t>2025_26</t>
  </si>
  <si>
    <t>Moving Average</t>
  </si>
  <si>
    <t>Country</t>
  </si>
  <si>
    <t>FY23_24</t>
  </si>
  <si>
    <t>FY24_25</t>
  </si>
  <si>
    <t>percent_cahnge_from_FY23_24</t>
  </si>
  <si>
    <t>FY25_26</t>
  </si>
  <si>
    <t>percent_cahnge_from_FY24_25</t>
  </si>
  <si>
    <t>Net_change_in_3_yrs</t>
  </si>
  <si>
    <t>Total_FDI</t>
  </si>
  <si>
    <t>Singapore</t>
  </si>
  <si>
    <t>Mauritius</t>
  </si>
  <si>
    <t>U.S.A.</t>
  </si>
  <si>
    <t>Netherland</t>
  </si>
  <si>
    <t>Japan</t>
  </si>
  <si>
    <t>United Kingdom</t>
  </si>
  <si>
    <t>UAE</t>
  </si>
  <si>
    <t>Cayman Islands</t>
  </si>
  <si>
    <t>Cyprus</t>
  </si>
  <si>
    <t>Germany</t>
  </si>
  <si>
    <t>Median FDI</t>
  </si>
  <si>
    <t>S_no</t>
  </si>
  <si>
    <t>Commodity</t>
  </si>
  <si>
    <t>Exports_23_24</t>
  </si>
  <si>
    <t>percent_total_exports_23_24</t>
  </si>
  <si>
    <t>Imports_23_24</t>
  </si>
  <si>
    <t>percent_total_imports_23_24</t>
  </si>
  <si>
    <t>Net_bal_23_24</t>
  </si>
  <si>
    <t>Exports_24_25</t>
  </si>
  <si>
    <t>percent_total_exports_24_25</t>
  </si>
  <si>
    <t>Imports_24_25</t>
  </si>
  <si>
    <t>percent_total_imports_24_25</t>
  </si>
  <si>
    <t>Net_bal_24_25</t>
  </si>
  <si>
    <t>Exports_25_26</t>
  </si>
  <si>
    <t>percent_total_exports_25_26</t>
  </si>
  <si>
    <t>Imports_25_26</t>
  </si>
  <si>
    <t>percent_total_imports_25_26</t>
  </si>
  <si>
    <t>Net_bal_25_26</t>
  </si>
  <si>
    <t>Total_Exports</t>
  </si>
  <si>
    <t>Total_Imports</t>
  </si>
  <si>
    <t>Net_bal_3_years</t>
  </si>
  <si>
    <t>export_growth_23_24_to_24_25</t>
  </si>
  <si>
    <t>export_growth_24_25_to_25_26</t>
  </si>
  <si>
    <t>avg_export_growth_rate</t>
  </si>
  <si>
    <t>import_growth_23_24_to_24_25</t>
  </si>
  <si>
    <t>import_growth_24_25_to_25_26</t>
  </si>
  <si>
    <t>avg_import_growth_rate</t>
  </si>
  <si>
    <t>LIVE ANIMALS.</t>
  </si>
  <si>
    <t>MEAT AND EDIBLE MEAT OFFAL.</t>
  </si>
  <si>
    <t>FISH AND CRUSTACEANS, MOLLUSCS AND OTHER AQUATIC INVERTABRATES.</t>
  </si>
  <si>
    <t>DAIRY PRODUCE; BIRDS' EGGS; NATURAL HONEY; EDIBLE PROD. OF ANIMAL ORIGIN, NOT ELSEWHERE SPEC. OR INC</t>
  </si>
  <si>
    <t>PRODUCTS OF ANIMAL ORIGIN, NOT ELSEWHERE SPECIFIED OR INCLUDED.</t>
  </si>
  <si>
    <t>LIVE TREES AND OTHER PLANTS; BULBS; ROOTS AND THE LIKE; CUT FLOWERS AND ORNAMENTAL FOLIAGE.</t>
  </si>
  <si>
    <t>EDIBLE VEGETABLES AND CERTAIN ROOTS AND TUBERS.</t>
  </si>
  <si>
    <t>EDIBLE FRUIT AND NUTS; PEEL OR CITRUS FRUIT OR MELONS.</t>
  </si>
  <si>
    <t>COFFEE, TEA, MATE AND SPICES.</t>
  </si>
  <si>
    <t>CEREALS.</t>
  </si>
  <si>
    <t>PRODUCTS OF THE MILLING INDUSTRY; MALT; STARCHES; INULIN; WHEAT GLUTEN.</t>
  </si>
  <si>
    <t>OIL SEEDS AND OLEA. FRUITS; MISC. GRAINS, SEEDS AND FRUIT; INDUSTRIAL OR MEDICINAL PLANTS; STRAW AND</t>
  </si>
  <si>
    <t>LAC; GUMS, RESINS AND OTHER VEGETABLE SAPS AND EXTRACTS.</t>
  </si>
  <si>
    <t>VEGETABLE PLAITING MATERIALS; VEGETABLE PRODUCTS NOT ELSEWHERE SPECIFIED OR INCLUDED.</t>
  </si>
  <si>
    <t>ANIMAL OR VEGETABLE FATS AND OILS AND THEIR CLEAVAGE PRODUCTS; PRE. EDIBLE FATS; ANIMAL OR VEGETABLE</t>
  </si>
  <si>
    <t>PREPARATIONS OF MEAT, OF FISH OR OF CRUSTACEANS, MOLLUSCS OR OTHER AQUATIC INVERTEBRATES</t>
  </si>
  <si>
    <t>SUGARS AND SUGAR CONFECTIONERY.</t>
  </si>
  <si>
    <t>COCOA AND COCOA PREPARATIONS.</t>
  </si>
  <si>
    <t>PREPARATIONS OF CEREALS, FLOUR, STARCH OR MILK; PASTRYCOOKS PRODUCTS.</t>
  </si>
  <si>
    <t>PREPARATIONS OF VEGETABLES, FRUIT, NUTS OR OTHER PARTS OF PLANTS.</t>
  </si>
  <si>
    <t>MISCELLANEOUS EDIBLE PREPARATIONS.</t>
  </si>
  <si>
    <t>BEVERAGES, SPIRITS AND VINEGAR.</t>
  </si>
  <si>
    <t>RESIDUES AND WASTE FROM THE FOOD INDUSTRIES; PREPARED ANIMAL FODER.</t>
  </si>
  <si>
    <t>TOBACCO AND MANUFACTURED TOBACCO SUBSTITUTES.</t>
  </si>
  <si>
    <t>SALT; SULPHUR; EARTHS AND STONE; PLASTERING MATERIALS, LIME AND CEMENT.</t>
  </si>
  <si>
    <t>ORES, SLAG AND ASH.</t>
  </si>
  <si>
    <t>MINERAL FUELS, MINERAL OILS AND PRODUCTS OF THEIR DISTILLATION; BITUMINOUS SUBSTANCES; MINERAL WAXES</t>
  </si>
  <si>
    <t>INORGANIC CHEMICALS; ORGANIC OR INORGANIC COMPOUNDS OF PRECIOUS METALS, OF RARE-EARTH METALS, OR RAD</t>
  </si>
  <si>
    <t>ORGANIC CHEMICALS</t>
  </si>
  <si>
    <t>PHARMACEUTICAL PRODUCTS</t>
  </si>
  <si>
    <t>FERTILISERS.</t>
  </si>
  <si>
    <t>TANNING OR DYEING EXTRACTS; TANNINS AND THEIR DERI. DYES, PIGMENTS AND OTHER COLOURING MATTER; PAINT</t>
  </si>
  <si>
    <t>ESSENTIAL OILS AND RESINOIDS; PERFUMERY, COSMETIC OR TOILET PREPARATIONS.</t>
  </si>
  <si>
    <t>SOAP, ORGANIC SURFACE-ACTIVE AGENTS, WASHING PREPARATIONS, LUBRICATING PREPARATIONS, ARTIFICIAL WAXE</t>
  </si>
  <si>
    <t>ALBUMINOIDAL SUBSTANCES; MODIFIED STARCHES; GLUES; ENZYMES.</t>
  </si>
  <si>
    <t>EXPLOSIVES; PYROTECHNIC PRODUCTS; MATCHES; PYROPHORIC ALLOYS; CERTAIN COMBUSTIBLE PREPARATIONS.</t>
  </si>
  <si>
    <t>PHOTOGRAPHIC OR CINEMATOGRAPHIC GOODS.</t>
  </si>
  <si>
    <t>MISCELLANEOUS CHEMICAL PRODUCTS.</t>
  </si>
  <si>
    <t>PLASTIC AND ARTICLES THEREOF.</t>
  </si>
  <si>
    <t>RUBBER AND ARTICLES THEREOF.</t>
  </si>
  <si>
    <t>RAW HIDES AND SKINS (OTHER THAN FURSKINS) AND LEATHER</t>
  </si>
  <si>
    <t xml:space="preserve">ARTICLES OF LEATHER,SADDLERY AND HARNESS;TRAVEL GOODS, HANDBAGS AND SIMILAR CONT.ARTICLES OF ANIMAL </t>
  </si>
  <si>
    <t>FURSKINS AND ARTIFICIAL FUR, MANUFACTURES THEREOF.</t>
  </si>
  <si>
    <t>WOOD AND ARTICLES OF WOOD; WOOD CHARCOAL.</t>
  </si>
  <si>
    <t>CORK AND ARTICLES OF CORK.</t>
  </si>
  <si>
    <t>MANUFACTURES OF STRAW, OF ESPARTO OR OF OTHER PLAITING MATERIALS; BASKETWARE AND WICKERWORK.</t>
  </si>
  <si>
    <t>PULP OF WOOD OR OF OTHER FIBROUS CELLULOSIC MATERIAL; WASTE AND SCRAP OF PAPER OR PAPERBOARD.</t>
  </si>
  <si>
    <t>PAPER AND PAPERBOARD; ARTICLES OF PAPER PULP, OF PAPER OR OF PAPERBOARD.</t>
  </si>
  <si>
    <t>PRINTED BOOKDS, NEWSPAPERS, PICTURES AND OTHER PRODUCTS OF THE PRINTING INDUSTRY; MANUSCRIPTS, TYPES</t>
  </si>
  <si>
    <t>SILK</t>
  </si>
  <si>
    <t>WOOL, FINE OR COARSE ANIMAL HAIR, HORSEHAIR YARN AND WOVEN FABRIC.</t>
  </si>
  <si>
    <t>COTTON.</t>
  </si>
  <si>
    <t>OTHER VEGETABLE TEXTILE FIBRES; PAPER YARN AND WOVEN FABRICS OF PAPER YARN.</t>
  </si>
  <si>
    <t>MAN-MADE FILAMENTS.</t>
  </si>
  <si>
    <t>MAN-MADE STAPLE FIBRES.</t>
  </si>
  <si>
    <t>WADDING, FELT AND NONWOVENS; SPACIAL YARNS; TWINE, CORDAGE, ROPES AND CABLES AND ARTICLES THEREOF.</t>
  </si>
  <si>
    <t>CARPETS AND OTHER TEXTILE FLOOR COVERINGS.</t>
  </si>
  <si>
    <t>SPECIAL WOVEN FABRICS; TUFTED TEXTILE FABRICS; LACE; TAPESTRIES; TRIMMINGS; EMBROIDERY.</t>
  </si>
  <si>
    <t>IMPREGNATED, COATED, COVERED OR LAMINATED TEXTILE FABRICS; TEXTILE ARTICLES OF A KIND SUITABLE FOR I</t>
  </si>
  <si>
    <t>KNITTED OR CROCHETED FABRICS.</t>
  </si>
  <si>
    <t>ARTICLES OF APPAREL AND CLOTHING ACCESSORIES, KNITTED OR CORCHETED.</t>
  </si>
  <si>
    <t>ARTICLES OF APPAREL AND CLOTHING ACCESSORIES, NOT KNITTED OR CROCHETED.</t>
  </si>
  <si>
    <t>OTHER MADE UP TEXTILE ARTICLES; SETS; WORN CLOTHING AND WORN TEXTILE ARTICLES; RAGS</t>
  </si>
  <si>
    <t>FOOTWEAR, GAITERS AND THE LIKE; PARTS OF SUCH ARTICLES.</t>
  </si>
  <si>
    <t>HEADGEAR AND PARTS THEREOF.</t>
  </si>
  <si>
    <t>UMBRELLAS, SUN UMBRELLAS, WALKING-STICKS, SEAT-STICKS, WHIPS,RIDING-CROPS AND PARTS THEREOF.</t>
  </si>
  <si>
    <t>PREPARED FEATHERS AND DOWN AND ARTICLES MADE OF FEATHERS OR OF DOWN; ARTIFICIAL FLOWERS; ARTICLES OF</t>
  </si>
  <si>
    <t>ARTICLES OF STONE, PLASTER, CEMENT, ASBESTOS, MICA OR SIMILAR MATERIALS.</t>
  </si>
  <si>
    <t>CERAMIC PRODUCTS.</t>
  </si>
  <si>
    <t>GLASS AND GLASSWARE.</t>
  </si>
  <si>
    <t>NATURAL OR CULTURED PEARLS,PRECIOUS OR SEMIPRECIOUS STONES,PRE.METALS,CLAD WITH PRE.METAL AND ARTCLS</t>
  </si>
  <si>
    <t>IRON AND STEEL</t>
  </si>
  <si>
    <t>ARTICLES OF IRON OR STEEL</t>
  </si>
  <si>
    <t>COPPER AND ARTICLES THEREOF.</t>
  </si>
  <si>
    <t>NICKEL AND ARTICLES THEREOF.</t>
  </si>
  <si>
    <t>ALUMINIUM AND ARTICLES THEREOF.</t>
  </si>
  <si>
    <t>LEAD AND ARTICLES THEREOF.</t>
  </si>
  <si>
    <t>ZINC AND ARTICLES THEREOF.</t>
  </si>
  <si>
    <t>TIN AND ARTICLES THEREOF.</t>
  </si>
  <si>
    <t>OTHER BASE METALS; CERMETS; ARTICLES THEREOF.</t>
  </si>
  <si>
    <t>TOOLS IMPLEMENTS, CUTLERY, SPOONS AND FORKS, OF BASE METAL; PARTS THEREOF OF BASE METAL.</t>
  </si>
  <si>
    <t>MISCELLANEOUS ARTICLES OF BASE METAL.</t>
  </si>
  <si>
    <t>NUCLEAR REACTORS, BOILERS, MACHINERY AND MECHANICAL APPLIANCES; PARTS THEREOF.</t>
  </si>
  <si>
    <t>ELECTRICAL MACHINERY AND EQUIPMENT AND PARTS THEREOF; SOUND RECORDERS AND REPRODUCERS, TELEVISION IM</t>
  </si>
  <si>
    <t>RAILWAY OR TRAMWAY LOCOMOTIVES, ROLLING-STOCK AND PARTS THEREOF; RAILWAY OR TRAMWAY TRACK FIXTURES A</t>
  </si>
  <si>
    <t>VEHICLES OTHER THAN RAILWAY OR TRAMWAY ROLLING STOCK, AND PARTS AND ACCESSORIES THEREOF.</t>
  </si>
  <si>
    <t>AIRCRAFT, SPACECRAFT, AND PARTS THEREOF.</t>
  </si>
  <si>
    <t>SHIPS, BOATS AND FLOATING STRUCTURES.</t>
  </si>
  <si>
    <t>OPTICAL, PHOTOGRAPHIC CINEMATOGRAPHIC MEASURING, CHECKING PRECISION, MEDICAL OR SURGICAL INST. AND A</t>
  </si>
  <si>
    <t>CLOCKS AND WATCHES AND PARTS THEREOF.</t>
  </si>
  <si>
    <t>MUSICAL INSTRUMENTS; PARTS AND ACCESSORIES OF SUCH ARTICLES.</t>
  </si>
  <si>
    <t>ARMS AND AMMUNITION; PARTS AND ACCESSORIES THEREOF.</t>
  </si>
  <si>
    <t>FURNITURE; BEDDING, MATTRESSES, MATTRESS SUPPORTS, CUSHIONS AND SIMILAR STUFFED FURNISHING; LAMPS AN</t>
  </si>
  <si>
    <t>TOYS, GAMES AND SPORTS REQUISITES; PARTS AND ACCESSORIES THEREOF.</t>
  </si>
  <si>
    <t>MISCELLANEOUS MANUFACTURED ARTICLES.</t>
  </si>
  <si>
    <t>WORKS OF ART COLLECTORS' PIECES AND ANTIQUES.</t>
  </si>
  <si>
    <t>PROJECT GOODS; SOME SPECIAL USES.</t>
  </si>
  <si>
    <t>MISCELLANEOUS GOODS.</t>
  </si>
  <si>
    <t>Grand Total</t>
  </si>
  <si>
    <t>Sum of Exports</t>
  </si>
  <si>
    <t>YEAR</t>
  </si>
  <si>
    <t>MONTH</t>
  </si>
  <si>
    <t>2023_24 Total</t>
  </si>
  <si>
    <t>2024_25 Total</t>
  </si>
  <si>
    <t>2025_26 Total</t>
  </si>
  <si>
    <t>Sum of Imports</t>
  </si>
  <si>
    <t>Sum of Trade_Balance</t>
  </si>
  <si>
    <t>Row Labels</t>
  </si>
  <si>
    <t>Sum of Exports_23_24</t>
  </si>
  <si>
    <t>Sum of Imports_23_24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</si>
</sst>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2" fontId="0" fillId="0" borderId="0" xfId="0" applyNumberFormat="1" applyAlignment="1">
      <alignment horizontal="center"/>
    </xf>
    <xf numFmtId="2" fontId="0" fillId="0" borderId="0" xfId="0" applyNumberFormat="1"/>
    <xf numFmtId="0" fontId="0" fillId="0" borderId="0" xfId="0" applyAlignment="1">
      <alignment horizontal="left"/>
    </xf>
    <xf numFmtId="0" fontId="1" fillId="0" borderId="0" xfId="0" applyFont="1" applyAlignment="1">
      <alignment horizontal="center"/>
    </xf>
    <xf numFmtId="0" fontId="1" fillId="0" borderId="0" xfId="0" applyFont="1"/>
    <xf numFmtId="0" fontId="0" fillId="0" borderId="0" xfId="0" pivotButton="1"/>
    <xf numFmtId="14" fontId="0" fillId="0" borderId="0" xfId="0" applyNumberFormat="1"/>
  </cellXfs>
  <cellStyles count="1">
    <cellStyle name="Normal" xfId="0" builtinId="0"/>
  </cellStyles>
  <dxfs count="9">
    <dxf>
      <numFmt numFmtId="19" formatCode="dd/mm/yyyy"/>
    </dxf>
    <dxf>
      <numFmt numFmtId="0" formatCode="General"/>
    </dxf>
    <dxf>
      <numFmt numFmtId="0" formatCode="General"/>
    </dxf>
    <dxf>
      <numFmt numFmtId="2" formatCode="0.00"/>
    </dxf>
    <dxf>
      <numFmt numFmtId="2" formatCode="0.00"/>
      <alignment horizontal="center" vertical="bottom" textRotation="0" wrapText="0" indent="0" justifyLastLine="0" shrinkToFit="0" readingOrder="0"/>
    </dxf>
    <dxf>
      <numFmt numFmtId="2" formatCode="0.00"/>
    </dxf>
    <dxf>
      <numFmt numFmtId="2" formatCode="0.00"/>
      <alignment horizontal="center"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5.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Table" Target="pivotTables/pivotTabl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a:t>
            </a:r>
            <a:r>
              <a:rPr lang="en-IN" baseline="0"/>
              <a:t> of different components in Forex reserves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forex_info!$C$1</c:f>
              <c:strCache>
                <c:ptCount val="1"/>
                <c:pt idx="0">
                  <c:v>Foreign_Currency_Assets</c:v>
                </c:pt>
              </c:strCache>
            </c:strRef>
          </c:tx>
          <c:spPr>
            <a:solidFill>
              <a:schemeClr val="accent2"/>
            </a:solidFill>
            <a:ln>
              <a:noFill/>
            </a:ln>
            <a:effectLst/>
          </c:spPr>
          <c:invertIfNegative val="0"/>
          <c:cat>
            <c:strRef>
              <c:f>forex_info!$A$2:$A$37</c:f>
              <c:strCache>
                <c:ptCount val="36"/>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strCache>
            </c:strRef>
          </c:cat>
          <c:val>
            <c:numRef>
              <c:f>forex_info!$C$2:$C$37</c:f>
              <c:numCache>
                <c:formatCode>0.00</c:formatCode>
                <c:ptCount val="36"/>
                <c:pt idx="0">
                  <c:v>520929.53125</c:v>
                </c:pt>
                <c:pt idx="1">
                  <c:v>522422.375</c:v>
                </c:pt>
                <c:pt idx="2">
                  <c:v>527978.5625</c:v>
                </c:pt>
                <c:pt idx="3">
                  <c:v>537152.375</c:v>
                </c:pt>
                <c:pt idx="4">
                  <c:v>529911</c:v>
                </c:pt>
                <c:pt idx="5">
                  <c:v>521366.34375</c:v>
                </c:pt>
                <c:pt idx="6">
                  <c:v>519280.84375</c:v>
                </c:pt>
                <c:pt idx="7">
                  <c:v>533424.25</c:v>
                </c:pt>
                <c:pt idx="8">
                  <c:v>551239.375</c:v>
                </c:pt>
                <c:pt idx="9">
                  <c:v>548938.875</c:v>
                </c:pt>
                <c:pt idx="10">
                  <c:v>554152</c:v>
                </c:pt>
                <c:pt idx="11">
                  <c:v>570950.1875</c:v>
                </c:pt>
                <c:pt idx="12">
                  <c:v>561777.6875</c:v>
                </c:pt>
                <c:pt idx="13">
                  <c:v>572563.9375</c:v>
                </c:pt>
                <c:pt idx="14">
                  <c:v>572881.25</c:v>
                </c:pt>
                <c:pt idx="15">
                  <c:v>589315.6875</c:v>
                </c:pt>
                <c:pt idx="16">
                  <c:v>597414.9375</c:v>
                </c:pt>
                <c:pt idx="17">
                  <c:v>617075</c:v>
                </c:pt>
                <c:pt idx="18">
                  <c:v>589849.3125</c:v>
                </c:pt>
                <c:pt idx="19">
                  <c:v>569960.0625</c:v>
                </c:pt>
                <c:pt idx="20">
                  <c:v>547454.0625</c:v>
                </c:pt>
                <c:pt idx="21">
                  <c:v>537684.5</c:v>
                </c:pt>
                <c:pt idx="22">
                  <c:v>543349.5625</c:v>
                </c:pt>
                <c:pt idx="23">
                  <c:v>567557.4375</c:v>
                </c:pt>
                <c:pt idx="24">
                  <c:v>581195</c:v>
                </c:pt>
                <c:pt idx="25">
                  <c:v>584899</c:v>
                </c:pt>
                <c:pt idx="26">
                  <c:v>591354.375</c:v>
                </c:pt>
                <c:pt idx="27">
                  <c:v>582610.625</c:v>
                </c:pt>
                <c:pt idx="28">
                  <c:v>584530.375</c:v>
                </c:pt>
                <c:pt idx="29">
                  <c:v>579180.625</c:v>
                </c:pt>
                <c:pt idx="30">
                  <c:v>564591.0625</c:v>
                </c:pt>
                <c:pt idx="31">
                  <c:v>557788.75</c:v>
                </c:pt>
                <c:pt idx="32">
                  <c:v>552896.5625</c:v>
                </c:pt>
                <c:pt idx="33">
                  <c:v>560944.875</c:v>
                </c:pt>
                <c:pt idx="34">
                  <c:v>573125</c:v>
                </c:pt>
                <c:pt idx="35">
                  <c:v>552282.6875</c:v>
                </c:pt>
              </c:numCache>
            </c:numRef>
          </c:val>
          <c:extLst>
            <c:ext xmlns:c16="http://schemas.microsoft.com/office/drawing/2014/chart" uri="{C3380CC4-5D6E-409C-BE32-E72D297353CC}">
              <c16:uniqueId val="{00000000-ABFC-4FEE-BE5F-02FBA6692E45}"/>
            </c:ext>
          </c:extLst>
        </c:ser>
        <c:ser>
          <c:idx val="1"/>
          <c:order val="1"/>
          <c:tx>
            <c:strRef>
              <c:f>forex_info!$D$1</c:f>
              <c:strCache>
                <c:ptCount val="1"/>
                <c:pt idx="0">
                  <c:v>Gold</c:v>
                </c:pt>
              </c:strCache>
            </c:strRef>
          </c:tx>
          <c:spPr>
            <a:solidFill>
              <a:schemeClr val="accent4"/>
            </a:solidFill>
            <a:ln>
              <a:noFill/>
            </a:ln>
            <a:effectLst/>
          </c:spPr>
          <c:invertIfNegative val="0"/>
          <c:cat>
            <c:strRef>
              <c:f>forex_info!$A$2:$A$37</c:f>
              <c:strCache>
                <c:ptCount val="36"/>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strCache>
            </c:strRef>
          </c:cat>
          <c:val>
            <c:numRef>
              <c:f>forex_info!$D$2:$D$37</c:f>
              <c:numCache>
                <c:formatCode>0.00</c:formatCode>
                <c:ptCount val="36"/>
                <c:pt idx="0">
                  <c:v>45585.44921875</c:v>
                </c:pt>
                <c:pt idx="1">
                  <c:v>44999.05078125</c:v>
                </c:pt>
                <c:pt idx="2">
                  <c:v>43832.28125</c:v>
                </c:pt>
                <c:pt idx="3">
                  <c:v>45109.48046875</c:v>
                </c:pt>
                <c:pt idx="4">
                  <c:v>45060</c:v>
                </c:pt>
                <c:pt idx="5">
                  <c:v>43341.94140625</c:v>
                </c:pt>
                <c:pt idx="6">
                  <c:v>46448.8203125</c:v>
                </c:pt>
                <c:pt idx="7">
                  <c:v>47596.3203125</c:v>
                </c:pt>
                <c:pt idx="8">
                  <c:v>47955.55859375</c:v>
                </c:pt>
                <c:pt idx="9">
                  <c:v>47967.44921875</c:v>
                </c:pt>
                <c:pt idx="10">
                  <c:v>48047.83984375</c:v>
                </c:pt>
                <c:pt idx="11">
                  <c:v>52674.828125</c:v>
                </c:pt>
                <c:pt idx="12">
                  <c:v>55888.390625</c:v>
                </c:pt>
                <c:pt idx="13">
                  <c:v>56501.2890625</c:v>
                </c:pt>
                <c:pt idx="14">
                  <c:v>56528.4296875</c:v>
                </c:pt>
                <c:pt idx="15">
                  <c:v>58524.5390625</c:v>
                </c:pt>
                <c:pt idx="16">
                  <c:v>61742.2109375</c:v>
                </c:pt>
                <c:pt idx="17">
                  <c:v>65749.4921875</c:v>
                </c:pt>
                <c:pt idx="18">
                  <c:v>69750.5703125</c:v>
                </c:pt>
                <c:pt idx="19">
                  <c:v>67212.0078125</c:v>
                </c:pt>
                <c:pt idx="20">
                  <c:v>66148.453125</c:v>
                </c:pt>
                <c:pt idx="21">
                  <c:v>70892.84375</c:v>
                </c:pt>
                <c:pt idx="22">
                  <c:v>73272.2578125</c:v>
                </c:pt>
                <c:pt idx="23">
                  <c:v>78176.3515625</c:v>
                </c:pt>
                <c:pt idx="24">
                  <c:v>84117.96875</c:v>
                </c:pt>
                <c:pt idx="25">
                  <c:v>83418.109375</c:v>
                </c:pt>
                <c:pt idx="26">
                  <c:v>83308.1796875</c:v>
                </c:pt>
                <c:pt idx="27">
                  <c:v>84136.9921875</c:v>
                </c:pt>
                <c:pt idx="28">
                  <c:v>87316.03125</c:v>
                </c:pt>
                <c:pt idx="29">
                  <c:v>97464.65625</c:v>
                </c:pt>
                <c:pt idx="30">
                  <c:v>101725.5625</c:v>
                </c:pt>
                <c:pt idx="31">
                  <c:v>106740.34375</c:v>
                </c:pt>
                <c:pt idx="32">
                  <c:v>111262.359375</c:v>
                </c:pt>
                <c:pt idx="33">
                  <c:v>126904.34375</c:v>
                </c:pt>
                <c:pt idx="34">
                  <c:v>131629.65625</c:v>
                </c:pt>
                <c:pt idx="35">
                  <c:v>115395.390625</c:v>
                </c:pt>
              </c:numCache>
            </c:numRef>
          </c:val>
          <c:extLst>
            <c:ext xmlns:c16="http://schemas.microsoft.com/office/drawing/2014/chart" uri="{C3380CC4-5D6E-409C-BE32-E72D297353CC}">
              <c16:uniqueId val="{00000001-ABFC-4FEE-BE5F-02FBA6692E45}"/>
            </c:ext>
          </c:extLst>
        </c:ser>
        <c:ser>
          <c:idx val="2"/>
          <c:order val="2"/>
          <c:tx>
            <c:strRef>
              <c:f>forex_info!$E$1</c:f>
              <c:strCache>
                <c:ptCount val="1"/>
                <c:pt idx="0">
                  <c:v>Reserve_Tranche_Position</c:v>
                </c:pt>
              </c:strCache>
            </c:strRef>
          </c:tx>
          <c:spPr>
            <a:solidFill>
              <a:schemeClr val="accent6"/>
            </a:solidFill>
            <a:ln>
              <a:noFill/>
            </a:ln>
            <a:effectLst/>
          </c:spPr>
          <c:invertIfNegative val="0"/>
          <c:cat>
            <c:strRef>
              <c:f>forex_info!$A$2:$A$37</c:f>
              <c:strCache>
                <c:ptCount val="36"/>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strCache>
            </c:strRef>
          </c:cat>
          <c:val>
            <c:numRef>
              <c:f>forex_info!$E$2:$E$37</c:f>
              <c:numCache>
                <c:formatCode>0.00</c:formatCode>
                <c:ptCount val="36"/>
                <c:pt idx="0">
                  <c:v>5172.259765625</c:v>
                </c:pt>
                <c:pt idx="1">
                  <c:v>5097.18994140625</c:v>
                </c:pt>
                <c:pt idx="2">
                  <c:v>5001.60986328125</c:v>
                </c:pt>
                <c:pt idx="3">
                  <c:v>5184.27001953125</c:v>
                </c:pt>
                <c:pt idx="4">
                  <c:v>5072.60009765625</c:v>
                </c:pt>
                <c:pt idx="5">
                  <c:v>5015.5400390625</c:v>
                </c:pt>
                <c:pt idx="6">
                  <c:v>4786.64990234375</c:v>
                </c:pt>
                <c:pt idx="7">
                  <c:v>4856.39990234375</c:v>
                </c:pt>
                <c:pt idx="8">
                  <c:v>4892.16015625</c:v>
                </c:pt>
                <c:pt idx="9">
                  <c:v>4849.169921875</c:v>
                </c:pt>
                <c:pt idx="10">
                  <c:v>4801.1201171875</c:v>
                </c:pt>
                <c:pt idx="11">
                  <c:v>4661.97998046875</c:v>
                </c:pt>
                <c:pt idx="12">
                  <c:v>4485.580078125</c:v>
                </c:pt>
                <c:pt idx="13">
                  <c:v>4326.47021484375</c:v>
                </c:pt>
                <c:pt idx="14">
                  <c:v>4573.259765625</c:v>
                </c:pt>
                <c:pt idx="15">
                  <c:v>4618.740234375</c:v>
                </c:pt>
                <c:pt idx="16">
                  <c:v>4622.14013671875</c:v>
                </c:pt>
                <c:pt idx="17">
                  <c:v>4391.47998046875</c:v>
                </c:pt>
                <c:pt idx="18">
                  <c:v>4311.3798828125</c:v>
                </c:pt>
                <c:pt idx="19">
                  <c:v>4254.009765625</c:v>
                </c:pt>
                <c:pt idx="20">
                  <c:v>4217.39013671875</c:v>
                </c:pt>
                <c:pt idx="21">
                  <c:v>4140.60009765625</c:v>
                </c:pt>
                <c:pt idx="22">
                  <c:v>4078.469970703125</c:v>
                </c:pt>
                <c:pt idx="23">
                  <c:v>4423.27978515625</c:v>
                </c:pt>
                <c:pt idx="24">
                  <c:v>4515.4599609375</c:v>
                </c:pt>
                <c:pt idx="25">
                  <c:v>4395.35986328125</c:v>
                </c:pt>
                <c:pt idx="26">
                  <c:v>4630.2099609375</c:v>
                </c:pt>
                <c:pt idx="27">
                  <c:v>4701.3701171875</c:v>
                </c:pt>
                <c:pt idx="28">
                  <c:v>4749.009765625</c:v>
                </c:pt>
                <c:pt idx="29">
                  <c:v>4668.35009765625</c:v>
                </c:pt>
                <c:pt idx="30">
                  <c:v>4771.81982421875</c:v>
                </c:pt>
                <c:pt idx="31">
                  <c:v>4772.4501953125</c:v>
                </c:pt>
                <c:pt idx="32">
                  <c:v>4780.6201171875</c:v>
                </c:pt>
                <c:pt idx="33">
                  <c:v>4746.39013671875</c:v>
                </c:pt>
                <c:pt idx="34">
                  <c:v>4873.22998046875</c:v>
                </c:pt>
                <c:pt idx="35">
                  <c:v>4808.080078125</c:v>
                </c:pt>
              </c:numCache>
            </c:numRef>
          </c:val>
          <c:extLst>
            <c:ext xmlns:c16="http://schemas.microsoft.com/office/drawing/2014/chart" uri="{C3380CC4-5D6E-409C-BE32-E72D297353CC}">
              <c16:uniqueId val="{00000002-ABFC-4FEE-BE5F-02FBA6692E45}"/>
            </c:ext>
          </c:extLst>
        </c:ser>
        <c:ser>
          <c:idx val="3"/>
          <c:order val="3"/>
          <c:tx>
            <c:strRef>
              <c:f>forex_info!$F$1</c:f>
              <c:strCache>
                <c:ptCount val="1"/>
                <c:pt idx="0">
                  <c:v>SDRs</c:v>
                </c:pt>
              </c:strCache>
            </c:strRef>
          </c:tx>
          <c:spPr>
            <a:solidFill>
              <a:schemeClr val="accent2">
                <a:lumMod val="60000"/>
              </a:schemeClr>
            </a:solidFill>
            <a:ln>
              <a:noFill/>
            </a:ln>
            <a:effectLst/>
          </c:spPr>
          <c:invertIfNegative val="0"/>
          <c:cat>
            <c:strRef>
              <c:f>forex_info!$A$2:$A$37</c:f>
              <c:strCache>
                <c:ptCount val="36"/>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strCache>
            </c:strRef>
          </c:cat>
          <c:val>
            <c:numRef>
              <c:f>forex_info!$F$2:$F$37</c:f>
              <c:numCache>
                <c:formatCode>0.00</c:formatCode>
                <c:ptCount val="36"/>
                <c:pt idx="0">
                  <c:v>18410.029296875</c:v>
                </c:pt>
                <c:pt idx="1">
                  <c:v>18197.880859375</c:v>
                </c:pt>
                <c:pt idx="2">
                  <c:v>18238.900390625</c:v>
                </c:pt>
                <c:pt idx="3">
                  <c:v>18364.2890625</c:v>
                </c:pt>
                <c:pt idx="4">
                  <c:v>18197.390625</c:v>
                </c:pt>
                <c:pt idx="5">
                  <c:v>17989.990234375</c:v>
                </c:pt>
                <c:pt idx="6">
                  <c:v>17945.119140625</c:v>
                </c:pt>
                <c:pt idx="7">
                  <c:v>18294.69921875</c:v>
                </c:pt>
                <c:pt idx="8">
                  <c:v>18365.19921875</c:v>
                </c:pt>
                <c:pt idx="9">
                  <c:v>18207.099609375</c:v>
                </c:pt>
                <c:pt idx="10">
                  <c:v>18164.0390625</c:v>
                </c:pt>
                <c:pt idx="11">
                  <c:v>18131.849609375</c:v>
                </c:pt>
                <c:pt idx="12">
                  <c:v>18049</c:v>
                </c:pt>
                <c:pt idx="13">
                  <c:v>18118.310546875</c:v>
                </c:pt>
                <c:pt idx="14">
                  <c:v>18014.330078125</c:v>
                </c:pt>
                <c:pt idx="15">
                  <c:v>18156.119140625</c:v>
                </c:pt>
                <c:pt idx="16">
                  <c:v>18451.470703125</c:v>
                </c:pt>
                <c:pt idx="17">
                  <c:v>18566.30078125</c:v>
                </c:pt>
                <c:pt idx="18">
                  <c:v>18218.6796875</c:v>
                </c:pt>
                <c:pt idx="19">
                  <c:v>18006.779296875</c:v>
                </c:pt>
                <c:pt idx="20">
                  <c:v>17881.51953125</c:v>
                </c:pt>
                <c:pt idx="21">
                  <c:v>17889.470703125</c:v>
                </c:pt>
                <c:pt idx="22">
                  <c:v>17998.099609375</c:v>
                </c:pt>
                <c:pt idx="23">
                  <c:v>18169.150390625</c:v>
                </c:pt>
                <c:pt idx="24">
                  <c:v>18599.939453125</c:v>
                </c:pt>
                <c:pt idx="25">
                  <c:v>18596.529296875</c:v>
                </c:pt>
                <c:pt idx="26">
                  <c:v>18825.01953125</c:v>
                </c:pt>
                <c:pt idx="27">
                  <c:v>18660.41015625</c:v>
                </c:pt>
                <c:pt idx="28">
                  <c:v>18762.73046875</c:v>
                </c:pt>
                <c:pt idx="29">
                  <c:v>18775.060546875</c:v>
                </c:pt>
                <c:pt idx="30">
                  <c:v>18644.41015625</c:v>
                </c:pt>
                <c:pt idx="31">
                  <c:v>18628.25</c:v>
                </c:pt>
                <c:pt idx="32">
                  <c:v>18794.7109375</c:v>
                </c:pt>
                <c:pt idx="33">
                  <c:v>18952.529296875</c:v>
                </c:pt>
                <c:pt idx="34">
                  <c:v>18865.9296875</c:v>
                </c:pt>
                <c:pt idx="35">
                  <c:v>18621.41015625</c:v>
                </c:pt>
              </c:numCache>
            </c:numRef>
          </c:val>
          <c:extLst>
            <c:ext xmlns:c16="http://schemas.microsoft.com/office/drawing/2014/chart" uri="{C3380CC4-5D6E-409C-BE32-E72D297353CC}">
              <c16:uniqueId val="{00000003-ABFC-4FEE-BE5F-02FBA6692E45}"/>
            </c:ext>
          </c:extLst>
        </c:ser>
        <c:ser>
          <c:idx val="4"/>
          <c:order val="4"/>
          <c:tx>
            <c:strRef>
              <c:f>forex_info!$G$1</c:f>
              <c:strCache>
                <c:ptCount val="1"/>
                <c:pt idx="0">
                  <c:v>Total_forex</c:v>
                </c:pt>
              </c:strCache>
            </c:strRef>
          </c:tx>
          <c:spPr>
            <a:solidFill>
              <a:schemeClr val="accent4">
                <a:lumMod val="60000"/>
              </a:schemeClr>
            </a:solidFill>
            <a:ln>
              <a:noFill/>
            </a:ln>
            <a:effectLst/>
          </c:spPr>
          <c:invertIfNegative val="0"/>
          <c:cat>
            <c:strRef>
              <c:f>forex_info!$A$2:$A$37</c:f>
              <c:strCache>
                <c:ptCount val="36"/>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strCache>
            </c:strRef>
          </c:cat>
          <c:val>
            <c:numRef>
              <c:f>forex_info!$G$2:$G$37</c:f>
              <c:numCache>
                <c:formatCode>General</c:formatCode>
                <c:ptCount val="36"/>
                <c:pt idx="0">
                  <c:v>590097.27</c:v>
                </c:pt>
                <c:pt idx="1">
                  <c:v>590716.5</c:v>
                </c:pt>
                <c:pt idx="2">
                  <c:v>595051.35</c:v>
                </c:pt>
                <c:pt idx="3">
                  <c:v>605810.41</c:v>
                </c:pt>
                <c:pt idx="4">
                  <c:v>598240.99</c:v>
                </c:pt>
                <c:pt idx="5">
                  <c:v>587713.81999999995</c:v>
                </c:pt>
                <c:pt idx="6">
                  <c:v>588461.43000000005</c:v>
                </c:pt>
                <c:pt idx="7">
                  <c:v>604171.67000000004</c:v>
                </c:pt>
                <c:pt idx="8">
                  <c:v>622452.29</c:v>
                </c:pt>
                <c:pt idx="9">
                  <c:v>619962.59</c:v>
                </c:pt>
                <c:pt idx="10">
                  <c:v>625165</c:v>
                </c:pt>
                <c:pt idx="11">
                  <c:v>646418.85</c:v>
                </c:pt>
                <c:pt idx="12">
                  <c:v>640200.66</c:v>
                </c:pt>
                <c:pt idx="13">
                  <c:v>651510.01</c:v>
                </c:pt>
                <c:pt idx="14">
                  <c:v>651997.27</c:v>
                </c:pt>
                <c:pt idx="15">
                  <c:v>670615.09</c:v>
                </c:pt>
                <c:pt idx="16">
                  <c:v>682230.76</c:v>
                </c:pt>
                <c:pt idx="17">
                  <c:v>705782.27</c:v>
                </c:pt>
                <c:pt idx="18">
                  <c:v>682129.94</c:v>
                </c:pt>
                <c:pt idx="19">
                  <c:v>659432.86</c:v>
                </c:pt>
                <c:pt idx="20">
                  <c:v>635701.43000000005</c:v>
                </c:pt>
                <c:pt idx="21">
                  <c:v>630607.41</c:v>
                </c:pt>
                <c:pt idx="22">
                  <c:v>638698.39</c:v>
                </c:pt>
                <c:pt idx="23">
                  <c:v>668326.22</c:v>
                </c:pt>
                <c:pt idx="24">
                  <c:v>688428.37</c:v>
                </c:pt>
                <c:pt idx="25">
                  <c:v>691309</c:v>
                </c:pt>
                <c:pt idx="26">
                  <c:v>698117.78</c:v>
                </c:pt>
                <c:pt idx="27">
                  <c:v>690109.4</c:v>
                </c:pt>
                <c:pt idx="28">
                  <c:v>695358.15</c:v>
                </c:pt>
                <c:pt idx="29">
                  <c:v>700088.69</c:v>
                </c:pt>
                <c:pt idx="30">
                  <c:v>689732.85</c:v>
                </c:pt>
                <c:pt idx="31">
                  <c:v>687929.79</c:v>
                </c:pt>
                <c:pt idx="32">
                  <c:v>687734.25</c:v>
                </c:pt>
                <c:pt idx="33">
                  <c:v>711548.14</c:v>
                </c:pt>
                <c:pt idx="34">
                  <c:v>728493.82</c:v>
                </c:pt>
                <c:pt idx="35">
                  <c:v>691107.57</c:v>
                </c:pt>
              </c:numCache>
            </c:numRef>
          </c:val>
          <c:extLst>
            <c:ext xmlns:c16="http://schemas.microsoft.com/office/drawing/2014/chart" uri="{C3380CC4-5D6E-409C-BE32-E72D297353CC}">
              <c16:uniqueId val="{00000004-ABFC-4FEE-BE5F-02FBA6692E45}"/>
            </c:ext>
          </c:extLst>
        </c:ser>
        <c:dLbls>
          <c:showLegendKey val="0"/>
          <c:showVal val="0"/>
          <c:showCatName val="0"/>
          <c:showSerName val="0"/>
          <c:showPercent val="0"/>
          <c:showBubbleSize val="0"/>
        </c:dLbls>
        <c:gapWidth val="150"/>
        <c:overlap val="100"/>
        <c:axId val="233599344"/>
        <c:axId val="1981487471"/>
      </c:barChart>
      <c:catAx>
        <c:axId val="23359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487471"/>
        <c:crosses val="autoZero"/>
        <c:auto val="1"/>
        <c:lblAlgn val="ctr"/>
        <c:lblOffset val="100"/>
        <c:noMultiLvlLbl val="0"/>
      </c:catAx>
      <c:valAx>
        <c:axId val="1981487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599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Share</a:t>
            </a:r>
            <a:r>
              <a:rPr lang="en-IN" baseline="0"/>
              <a:t> of FDI in total forex reserves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percentStacked"/>
        <c:varyColors val="0"/>
        <c:ser>
          <c:idx val="0"/>
          <c:order val="0"/>
          <c:tx>
            <c:strRef>
              <c:f>forex_info!$G$1</c:f>
              <c:strCache>
                <c:ptCount val="1"/>
                <c:pt idx="0">
                  <c:v>Total_forex</c:v>
                </c:pt>
              </c:strCache>
            </c:strRef>
          </c:tx>
          <c:spPr>
            <a:solidFill>
              <a:schemeClr val="accent1">
                <a:tint val="65000"/>
              </a:schemeClr>
            </a:solidFill>
            <a:ln>
              <a:noFill/>
            </a:ln>
            <a:effectLst/>
          </c:spPr>
          <c:invertIfNegative val="0"/>
          <c:cat>
            <c:multiLvlStrRef>
              <c:f>forex_info!$A$2:$B$37</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lvl>
              </c:multiLvlStrCache>
            </c:multiLvlStrRef>
          </c:cat>
          <c:val>
            <c:numRef>
              <c:f>forex_info!$G$2:$G$37</c:f>
              <c:numCache>
                <c:formatCode>General</c:formatCode>
                <c:ptCount val="36"/>
                <c:pt idx="0">
                  <c:v>590097.27</c:v>
                </c:pt>
                <c:pt idx="1">
                  <c:v>590716.5</c:v>
                </c:pt>
                <c:pt idx="2">
                  <c:v>595051.35</c:v>
                </c:pt>
                <c:pt idx="3">
                  <c:v>605810.41</c:v>
                </c:pt>
                <c:pt idx="4">
                  <c:v>598240.99</c:v>
                </c:pt>
                <c:pt idx="5">
                  <c:v>587713.81999999995</c:v>
                </c:pt>
                <c:pt idx="6">
                  <c:v>588461.43000000005</c:v>
                </c:pt>
                <c:pt idx="7">
                  <c:v>604171.67000000004</c:v>
                </c:pt>
                <c:pt idx="8">
                  <c:v>622452.29</c:v>
                </c:pt>
                <c:pt idx="9">
                  <c:v>619962.59</c:v>
                </c:pt>
                <c:pt idx="10">
                  <c:v>625165</c:v>
                </c:pt>
                <c:pt idx="11">
                  <c:v>646418.85</c:v>
                </c:pt>
                <c:pt idx="12">
                  <c:v>640200.66</c:v>
                </c:pt>
                <c:pt idx="13">
                  <c:v>651510.01</c:v>
                </c:pt>
                <c:pt idx="14">
                  <c:v>651997.27</c:v>
                </c:pt>
                <c:pt idx="15">
                  <c:v>670615.09</c:v>
                </c:pt>
                <c:pt idx="16">
                  <c:v>682230.76</c:v>
                </c:pt>
                <c:pt idx="17">
                  <c:v>705782.27</c:v>
                </c:pt>
                <c:pt idx="18">
                  <c:v>682129.94</c:v>
                </c:pt>
                <c:pt idx="19">
                  <c:v>659432.86</c:v>
                </c:pt>
                <c:pt idx="20">
                  <c:v>635701.43000000005</c:v>
                </c:pt>
                <c:pt idx="21">
                  <c:v>630607.41</c:v>
                </c:pt>
                <c:pt idx="22">
                  <c:v>638698.39</c:v>
                </c:pt>
                <c:pt idx="23">
                  <c:v>668326.22</c:v>
                </c:pt>
                <c:pt idx="24">
                  <c:v>688428.37</c:v>
                </c:pt>
                <c:pt idx="25">
                  <c:v>691309</c:v>
                </c:pt>
                <c:pt idx="26">
                  <c:v>698117.78</c:v>
                </c:pt>
                <c:pt idx="27">
                  <c:v>690109.4</c:v>
                </c:pt>
                <c:pt idx="28">
                  <c:v>695358.15</c:v>
                </c:pt>
                <c:pt idx="29">
                  <c:v>700088.69</c:v>
                </c:pt>
                <c:pt idx="30">
                  <c:v>689732.85</c:v>
                </c:pt>
                <c:pt idx="31">
                  <c:v>687929.79</c:v>
                </c:pt>
                <c:pt idx="32">
                  <c:v>687734.25</c:v>
                </c:pt>
                <c:pt idx="33">
                  <c:v>711548.14</c:v>
                </c:pt>
                <c:pt idx="34">
                  <c:v>728493.82</c:v>
                </c:pt>
                <c:pt idx="35">
                  <c:v>691107.57</c:v>
                </c:pt>
              </c:numCache>
            </c:numRef>
          </c:val>
          <c:extLst>
            <c:ext xmlns:c16="http://schemas.microsoft.com/office/drawing/2014/chart" uri="{C3380CC4-5D6E-409C-BE32-E72D297353CC}">
              <c16:uniqueId val="{00000000-4A6E-4A76-9048-73D24D4BAF21}"/>
            </c:ext>
          </c:extLst>
        </c:ser>
        <c:ser>
          <c:idx val="1"/>
          <c:order val="1"/>
          <c:tx>
            <c:strRef>
              <c:f>forex_info!$K$1</c:f>
              <c:strCache>
                <c:ptCount val="1"/>
                <c:pt idx="0">
                  <c:v>FDI_Equity_inflow</c:v>
                </c:pt>
              </c:strCache>
            </c:strRef>
          </c:tx>
          <c:spPr>
            <a:solidFill>
              <a:schemeClr val="accent1"/>
            </a:solidFill>
            <a:ln>
              <a:noFill/>
            </a:ln>
            <a:effectLst/>
          </c:spPr>
          <c:invertIfNegative val="0"/>
          <c:cat>
            <c:multiLvlStrRef>
              <c:f>forex_info!$A$2:$B$37</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lvl>
              </c:multiLvlStrCache>
            </c:multiLvlStrRef>
          </c:cat>
          <c:val>
            <c:numRef>
              <c:f>forex_info!$K$2:$K$37</c:f>
              <c:numCache>
                <c:formatCode>General</c:formatCode>
                <c:ptCount val="36"/>
                <c:pt idx="0">
                  <c:v>5106</c:v>
                </c:pt>
                <c:pt idx="1">
                  <c:v>2678</c:v>
                </c:pt>
                <c:pt idx="2">
                  <c:v>3162</c:v>
                </c:pt>
                <c:pt idx="3">
                  <c:v>2546</c:v>
                </c:pt>
                <c:pt idx="4">
                  <c:v>2908</c:v>
                </c:pt>
                <c:pt idx="5">
                  <c:v>4089</c:v>
                </c:pt>
                <c:pt idx="6">
                  <c:v>6338</c:v>
                </c:pt>
                <c:pt idx="7">
                  <c:v>2837</c:v>
                </c:pt>
                <c:pt idx="8">
                  <c:v>2374</c:v>
                </c:pt>
                <c:pt idx="9">
                  <c:v>5995</c:v>
                </c:pt>
                <c:pt idx="10">
                  <c:v>2649</c:v>
                </c:pt>
                <c:pt idx="11">
                  <c:v>3742</c:v>
                </c:pt>
                <c:pt idx="12">
                  <c:v>4910</c:v>
                </c:pt>
                <c:pt idx="13">
                  <c:v>5853</c:v>
                </c:pt>
                <c:pt idx="14">
                  <c:v>5415</c:v>
                </c:pt>
                <c:pt idx="15">
                  <c:v>3213</c:v>
                </c:pt>
                <c:pt idx="16">
                  <c:v>6393</c:v>
                </c:pt>
                <c:pt idx="17">
                  <c:v>4006</c:v>
                </c:pt>
                <c:pt idx="18">
                  <c:v>4223</c:v>
                </c:pt>
                <c:pt idx="19">
                  <c:v>2285</c:v>
                </c:pt>
                <c:pt idx="20">
                  <c:v>4374</c:v>
                </c:pt>
                <c:pt idx="21">
                  <c:v>3363</c:v>
                </c:pt>
                <c:pt idx="22">
                  <c:v>2831</c:v>
                </c:pt>
                <c:pt idx="23">
                  <c:v>3152</c:v>
                </c:pt>
                <c:pt idx="24">
                  <c:v>6559</c:v>
                </c:pt>
                <c:pt idx="25">
                  <c:v>5157</c:v>
                </c:pt>
                <c:pt idx="26">
                  <c:v>6912</c:v>
                </c:pt>
                <c:pt idx="27">
                  <c:v>8683</c:v>
                </c:pt>
                <c:pt idx="28">
                  <c:v>3734</c:v>
                </c:pt>
                <c:pt idx="29">
                  <c:v>4135</c:v>
                </c:pt>
                <c:pt idx="30">
                  <c:v>3582</c:v>
                </c:pt>
                <c:pt idx="31">
                  <c:v>3633</c:v>
                </c:pt>
                <c:pt idx="32">
                  <c:v>5480</c:v>
                </c:pt>
                <c:pt idx="33">
                  <c:v>2349</c:v>
                </c:pt>
                <c:pt idx="34">
                  <c:v>5357</c:v>
                </c:pt>
                <c:pt idx="35">
                  <c:v>3266</c:v>
                </c:pt>
              </c:numCache>
            </c:numRef>
          </c:val>
          <c:extLst>
            <c:ext xmlns:c16="http://schemas.microsoft.com/office/drawing/2014/chart" uri="{C3380CC4-5D6E-409C-BE32-E72D297353CC}">
              <c16:uniqueId val="{00000001-4A6E-4A76-9048-73D24D4BAF21}"/>
            </c:ext>
          </c:extLst>
        </c:ser>
        <c:dLbls>
          <c:showLegendKey val="0"/>
          <c:showVal val="0"/>
          <c:showCatName val="0"/>
          <c:showSerName val="0"/>
          <c:showPercent val="0"/>
          <c:showBubbleSize val="0"/>
        </c:dLbls>
        <c:gapWidth val="219"/>
        <c:overlap val="100"/>
        <c:axId val="313561855"/>
        <c:axId val="272523951"/>
      </c:barChart>
      <c:lineChart>
        <c:grouping val="standard"/>
        <c:varyColors val="0"/>
        <c:ser>
          <c:idx val="2"/>
          <c:order val="2"/>
          <c:tx>
            <c:strRef>
              <c:f>forex_info!$L$1</c:f>
              <c:strCache>
                <c:ptCount val="1"/>
                <c:pt idx="0">
                  <c:v>FDI_Equity_as_percent_of_totalForex</c:v>
                </c:pt>
              </c:strCache>
            </c:strRef>
          </c:tx>
          <c:spPr>
            <a:ln w="28575" cap="rnd">
              <a:solidFill>
                <a:schemeClr val="accent2"/>
              </a:solidFill>
              <a:round/>
            </a:ln>
            <a:effectLst/>
          </c:spPr>
          <c:marker>
            <c:symbol val="none"/>
          </c:marker>
          <c:cat>
            <c:multiLvlStrRef>
              <c:f>forex_info!$A$2:$B$37</c:f>
              <c:multiLvlStrCache>
                <c:ptCount val="36"/>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lvl>
                <c:lvl>
                  <c:pt idx="0">
                    <c:v>2023_24</c:v>
                  </c:pt>
                  <c:pt idx="1">
                    <c:v>2023_24</c:v>
                  </c:pt>
                  <c:pt idx="2">
                    <c:v>2023_24</c:v>
                  </c:pt>
                  <c:pt idx="3">
                    <c:v>2023_24</c:v>
                  </c:pt>
                  <c:pt idx="4">
                    <c:v>2023_24</c:v>
                  </c:pt>
                  <c:pt idx="5">
                    <c:v>2023_24</c:v>
                  </c:pt>
                  <c:pt idx="6">
                    <c:v>2023_24</c:v>
                  </c:pt>
                  <c:pt idx="7">
                    <c:v>2023_24</c:v>
                  </c:pt>
                  <c:pt idx="8">
                    <c:v>2023_24</c:v>
                  </c:pt>
                  <c:pt idx="9">
                    <c:v>2023_24</c:v>
                  </c:pt>
                  <c:pt idx="10">
                    <c:v>2023_24</c:v>
                  </c:pt>
                  <c:pt idx="11">
                    <c:v>2023_24</c:v>
                  </c:pt>
                  <c:pt idx="12">
                    <c:v>2024_25</c:v>
                  </c:pt>
                  <c:pt idx="13">
                    <c:v>2024_25</c:v>
                  </c:pt>
                  <c:pt idx="14">
                    <c:v>2024_25</c:v>
                  </c:pt>
                  <c:pt idx="15">
                    <c:v>2024_25</c:v>
                  </c:pt>
                  <c:pt idx="16">
                    <c:v>2024_25</c:v>
                  </c:pt>
                  <c:pt idx="17">
                    <c:v>2024_25</c:v>
                  </c:pt>
                  <c:pt idx="18">
                    <c:v>2024_25</c:v>
                  </c:pt>
                  <c:pt idx="19">
                    <c:v>2024_25</c:v>
                  </c:pt>
                  <c:pt idx="20">
                    <c:v>2024_25</c:v>
                  </c:pt>
                  <c:pt idx="21">
                    <c:v>2024_25</c:v>
                  </c:pt>
                  <c:pt idx="22">
                    <c:v>2024_25</c:v>
                  </c:pt>
                  <c:pt idx="23">
                    <c:v>2024_25</c:v>
                  </c:pt>
                  <c:pt idx="24">
                    <c:v>2025_26</c:v>
                  </c:pt>
                  <c:pt idx="25">
                    <c:v>2025_26</c:v>
                  </c:pt>
                  <c:pt idx="26">
                    <c:v>2025_26</c:v>
                  </c:pt>
                  <c:pt idx="27">
                    <c:v>2025_26</c:v>
                  </c:pt>
                  <c:pt idx="28">
                    <c:v>2025_26</c:v>
                  </c:pt>
                  <c:pt idx="29">
                    <c:v>2025_26</c:v>
                  </c:pt>
                  <c:pt idx="30">
                    <c:v>2025_26</c:v>
                  </c:pt>
                  <c:pt idx="31">
                    <c:v>2025_26</c:v>
                  </c:pt>
                  <c:pt idx="32">
                    <c:v>2025_26</c:v>
                  </c:pt>
                  <c:pt idx="33">
                    <c:v>2025_26</c:v>
                  </c:pt>
                  <c:pt idx="34">
                    <c:v>2025_26</c:v>
                  </c:pt>
                  <c:pt idx="35">
                    <c:v>2025_26</c:v>
                  </c:pt>
                </c:lvl>
              </c:multiLvlStrCache>
            </c:multiLvlStrRef>
          </c:cat>
          <c:val>
            <c:numRef>
              <c:f>forex_info!$L$2:$L$37</c:f>
              <c:numCache>
                <c:formatCode>General</c:formatCode>
                <c:ptCount val="36"/>
                <c:pt idx="0">
                  <c:v>0.87</c:v>
                </c:pt>
                <c:pt idx="1">
                  <c:v>0.45</c:v>
                </c:pt>
                <c:pt idx="2">
                  <c:v>0.53</c:v>
                </c:pt>
                <c:pt idx="3">
                  <c:v>0.42</c:v>
                </c:pt>
                <c:pt idx="4">
                  <c:v>0.49</c:v>
                </c:pt>
                <c:pt idx="5">
                  <c:v>0.7</c:v>
                </c:pt>
                <c:pt idx="6">
                  <c:v>1.08</c:v>
                </c:pt>
                <c:pt idx="7">
                  <c:v>0.47</c:v>
                </c:pt>
                <c:pt idx="8">
                  <c:v>0.38</c:v>
                </c:pt>
                <c:pt idx="9">
                  <c:v>0.97</c:v>
                </c:pt>
                <c:pt idx="10">
                  <c:v>0.42</c:v>
                </c:pt>
                <c:pt idx="11">
                  <c:v>0.57999999999999996</c:v>
                </c:pt>
                <c:pt idx="12">
                  <c:v>0.77</c:v>
                </c:pt>
                <c:pt idx="13">
                  <c:v>0.9</c:v>
                </c:pt>
                <c:pt idx="14">
                  <c:v>0.83</c:v>
                </c:pt>
                <c:pt idx="15">
                  <c:v>0.48</c:v>
                </c:pt>
                <c:pt idx="16">
                  <c:v>0.94</c:v>
                </c:pt>
                <c:pt idx="17">
                  <c:v>0.56999999999999995</c:v>
                </c:pt>
                <c:pt idx="18">
                  <c:v>0.62</c:v>
                </c:pt>
                <c:pt idx="19">
                  <c:v>0.35</c:v>
                </c:pt>
                <c:pt idx="20">
                  <c:v>0.69</c:v>
                </c:pt>
                <c:pt idx="21">
                  <c:v>0.53</c:v>
                </c:pt>
                <c:pt idx="22">
                  <c:v>0.44</c:v>
                </c:pt>
                <c:pt idx="23">
                  <c:v>0.47</c:v>
                </c:pt>
                <c:pt idx="24">
                  <c:v>0.95</c:v>
                </c:pt>
                <c:pt idx="25">
                  <c:v>0.75</c:v>
                </c:pt>
                <c:pt idx="26">
                  <c:v>0.99</c:v>
                </c:pt>
                <c:pt idx="27">
                  <c:v>1.26</c:v>
                </c:pt>
                <c:pt idx="28">
                  <c:v>0.54</c:v>
                </c:pt>
                <c:pt idx="29">
                  <c:v>0.59</c:v>
                </c:pt>
                <c:pt idx="30">
                  <c:v>0.52</c:v>
                </c:pt>
                <c:pt idx="31">
                  <c:v>0.53</c:v>
                </c:pt>
                <c:pt idx="32">
                  <c:v>0.8</c:v>
                </c:pt>
                <c:pt idx="33">
                  <c:v>0.33</c:v>
                </c:pt>
                <c:pt idx="34">
                  <c:v>0.74</c:v>
                </c:pt>
                <c:pt idx="35">
                  <c:v>0.47</c:v>
                </c:pt>
              </c:numCache>
            </c:numRef>
          </c:val>
          <c:smooth val="0"/>
          <c:extLst>
            <c:ext xmlns:c16="http://schemas.microsoft.com/office/drawing/2014/chart" uri="{C3380CC4-5D6E-409C-BE32-E72D297353CC}">
              <c16:uniqueId val="{00000002-4A6E-4A76-9048-73D24D4BAF21}"/>
            </c:ext>
          </c:extLst>
        </c:ser>
        <c:dLbls>
          <c:showLegendKey val="0"/>
          <c:showVal val="0"/>
          <c:showCatName val="0"/>
          <c:showSerName val="0"/>
          <c:showPercent val="0"/>
          <c:showBubbleSize val="0"/>
        </c:dLbls>
        <c:marker val="1"/>
        <c:smooth val="0"/>
        <c:axId val="313631919"/>
        <c:axId val="272551311"/>
      </c:lineChart>
      <c:catAx>
        <c:axId val="31356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523951"/>
        <c:crosses val="autoZero"/>
        <c:auto val="1"/>
        <c:lblAlgn val="ctr"/>
        <c:lblOffset val="100"/>
        <c:noMultiLvlLbl val="0"/>
      </c:catAx>
      <c:valAx>
        <c:axId val="272523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561855"/>
        <c:crosses val="autoZero"/>
        <c:crossBetween val="between"/>
      </c:valAx>
      <c:valAx>
        <c:axId val="2725513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31919"/>
        <c:crosses val="max"/>
        <c:crossBetween val="between"/>
      </c:valAx>
      <c:catAx>
        <c:axId val="313631919"/>
        <c:scaling>
          <c:orientation val="minMax"/>
        </c:scaling>
        <c:delete val="1"/>
        <c:axPos val="b"/>
        <c:numFmt formatCode="General" sourceLinked="1"/>
        <c:majorTickMark val="out"/>
        <c:minorTickMark val="none"/>
        <c:tickLblPos val="nextTo"/>
        <c:crossAx val="272551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Forcast</a:t>
            </a:r>
            <a:r>
              <a:rPr lang="en-IN" baseline="0"/>
              <a:t> of Next months FDI</a:t>
            </a:r>
            <a:endParaRPr lang="en-IN"/>
          </a:p>
        </c:rich>
      </c:tx>
      <c:overlay val="0"/>
    </c:title>
    <c:autoTitleDeleted val="0"/>
    <c:plotArea>
      <c:layout/>
      <c:lineChart>
        <c:grouping val="standard"/>
        <c:varyColors val="0"/>
        <c:ser>
          <c:idx val="0"/>
          <c:order val="0"/>
          <c:tx>
            <c:v>Actual</c:v>
          </c:tx>
          <c:val>
            <c:numRef>
              <c:f>'Forex_info visualization'!$A$36:$A$71</c:f>
              <c:numCache>
                <c:formatCode>General</c:formatCode>
                <c:ptCount val="36"/>
                <c:pt idx="0">
                  <c:v>5106</c:v>
                </c:pt>
                <c:pt idx="1">
                  <c:v>2678</c:v>
                </c:pt>
                <c:pt idx="2">
                  <c:v>3162</c:v>
                </c:pt>
                <c:pt idx="3">
                  <c:v>2546</c:v>
                </c:pt>
                <c:pt idx="4">
                  <c:v>2908</c:v>
                </c:pt>
                <c:pt idx="5">
                  <c:v>4089</c:v>
                </c:pt>
                <c:pt idx="6">
                  <c:v>6338</c:v>
                </c:pt>
                <c:pt idx="7">
                  <c:v>2837</c:v>
                </c:pt>
                <c:pt idx="8">
                  <c:v>2374</c:v>
                </c:pt>
                <c:pt idx="9">
                  <c:v>5995</c:v>
                </c:pt>
                <c:pt idx="10">
                  <c:v>2649</c:v>
                </c:pt>
                <c:pt idx="11">
                  <c:v>3742</c:v>
                </c:pt>
                <c:pt idx="12">
                  <c:v>4910</c:v>
                </c:pt>
                <c:pt idx="13">
                  <c:v>5853</c:v>
                </c:pt>
                <c:pt idx="14">
                  <c:v>5415</c:v>
                </c:pt>
                <c:pt idx="15">
                  <c:v>3213</c:v>
                </c:pt>
                <c:pt idx="16">
                  <c:v>6393</c:v>
                </c:pt>
                <c:pt idx="17">
                  <c:v>4006</c:v>
                </c:pt>
                <c:pt idx="18">
                  <c:v>4223</c:v>
                </c:pt>
                <c:pt idx="19">
                  <c:v>2285</c:v>
                </c:pt>
                <c:pt idx="20">
                  <c:v>4374</c:v>
                </c:pt>
                <c:pt idx="21">
                  <c:v>3363</c:v>
                </c:pt>
                <c:pt idx="22">
                  <c:v>2831</c:v>
                </c:pt>
                <c:pt idx="23">
                  <c:v>3152</c:v>
                </c:pt>
                <c:pt idx="24">
                  <c:v>6559</c:v>
                </c:pt>
                <c:pt idx="25">
                  <c:v>5157</c:v>
                </c:pt>
                <c:pt idx="26">
                  <c:v>6912</c:v>
                </c:pt>
                <c:pt idx="27">
                  <c:v>8683</c:v>
                </c:pt>
                <c:pt idx="28">
                  <c:v>3734</c:v>
                </c:pt>
                <c:pt idx="29">
                  <c:v>4135</c:v>
                </c:pt>
                <c:pt idx="30">
                  <c:v>3582</c:v>
                </c:pt>
                <c:pt idx="31">
                  <c:v>3633</c:v>
                </c:pt>
                <c:pt idx="32">
                  <c:v>5480</c:v>
                </c:pt>
                <c:pt idx="33">
                  <c:v>2349</c:v>
                </c:pt>
                <c:pt idx="34">
                  <c:v>5357</c:v>
                </c:pt>
                <c:pt idx="35">
                  <c:v>3266</c:v>
                </c:pt>
              </c:numCache>
            </c:numRef>
          </c:val>
          <c:smooth val="0"/>
          <c:extLst>
            <c:ext xmlns:c16="http://schemas.microsoft.com/office/drawing/2014/chart" uri="{C3380CC4-5D6E-409C-BE32-E72D297353CC}">
              <c16:uniqueId val="{00000001-5078-4EC1-8493-8A45CA70D560}"/>
            </c:ext>
          </c:extLst>
        </c:ser>
        <c:ser>
          <c:idx val="1"/>
          <c:order val="1"/>
          <c:tx>
            <c:v>Forecast</c:v>
          </c:tx>
          <c:val>
            <c:numRef>
              <c:f>'Forex_info visualization'!$B$36:$B$71</c:f>
              <c:numCache>
                <c:formatCode>General</c:formatCode>
                <c:ptCount val="36"/>
                <c:pt idx="0">
                  <c:v>#N/A</c:v>
                </c:pt>
                <c:pt idx="1">
                  <c:v>#N/A</c:v>
                </c:pt>
                <c:pt idx="2">
                  <c:v>3648.6666666666665</c:v>
                </c:pt>
                <c:pt idx="3">
                  <c:v>2795.3333333333335</c:v>
                </c:pt>
                <c:pt idx="4">
                  <c:v>2872</c:v>
                </c:pt>
                <c:pt idx="5">
                  <c:v>3181</c:v>
                </c:pt>
                <c:pt idx="6">
                  <c:v>4445</c:v>
                </c:pt>
                <c:pt idx="7">
                  <c:v>4421.333333333333</c:v>
                </c:pt>
                <c:pt idx="8">
                  <c:v>3849.6666666666665</c:v>
                </c:pt>
                <c:pt idx="9">
                  <c:v>3735.3333333333335</c:v>
                </c:pt>
                <c:pt idx="10">
                  <c:v>3672.6666666666665</c:v>
                </c:pt>
                <c:pt idx="11">
                  <c:v>4128.666666666667</c:v>
                </c:pt>
                <c:pt idx="12">
                  <c:v>3767</c:v>
                </c:pt>
                <c:pt idx="13">
                  <c:v>4835</c:v>
                </c:pt>
                <c:pt idx="14">
                  <c:v>5392.666666666667</c:v>
                </c:pt>
                <c:pt idx="15">
                  <c:v>4827</c:v>
                </c:pt>
                <c:pt idx="16">
                  <c:v>5007</c:v>
                </c:pt>
                <c:pt idx="17">
                  <c:v>4537.333333333333</c:v>
                </c:pt>
                <c:pt idx="18">
                  <c:v>4874</c:v>
                </c:pt>
                <c:pt idx="19">
                  <c:v>3504.6666666666665</c:v>
                </c:pt>
                <c:pt idx="20">
                  <c:v>3627.3333333333335</c:v>
                </c:pt>
                <c:pt idx="21">
                  <c:v>3340.6666666666665</c:v>
                </c:pt>
                <c:pt idx="22">
                  <c:v>3522.6666666666665</c:v>
                </c:pt>
                <c:pt idx="23">
                  <c:v>3115.3333333333335</c:v>
                </c:pt>
                <c:pt idx="24">
                  <c:v>4180.666666666667</c:v>
                </c:pt>
                <c:pt idx="25">
                  <c:v>4956</c:v>
                </c:pt>
                <c:pt idx="26">
                  <c:v>6209.333333333333</c:v>
                </c:pt>
                <c:pt idx="27">
                  <c:v>6917.333333333333</c:v>
                </c:pt>
                <c:pt idx="28">
                  <c:v>6443</c:v>
                </c:pt>
                <c:pt idx="29">
                  <c:v>5517.333333333333</c:v>
                </c:pt>
                <c:pt idx="30">
                  <c:v>3817</c:v>
                </c:pt>
                <c:pt idx="31">
                  <c:v>3783.3333333333335</c:v>
                </c:pt>
                <c:pt idx="32">
                  <c:v>4231.666666666667</c:v>
                </c:pt>
                <c:pt idx="33">
                  <c:v>3820.6666666666665</c:v>
                </c:pt>
                <c:pt idx="34">
                  <c:v>4395.333333333333</c:v>
                </c:pt>
                <c:pt idx="35">
                  <c:v>4258.0277777777774</c:v>
                </c:pt>
              </c:numCache>
            </c:numRef>
          </c:val>
          <c:smooth val="0"/>
          <c:extLst>
            <c:ext xmlns:c16="http://schemas.microsoft.com/office/drawing/2014/chart" uri="{C3380CC4-5D6E-409C-BE32-E72D297353CC}">
              <c16:uniqueId val="{00000002-5078-4EC1-8493-8A45CA70D560}"/>
            </c:ext>
          </c:extLst>
        </c:ser>
        <c:dLbls>
          <c:showLegendKey val="0"/>
          <c:showVal val="0"/>
          <c:showCatName val="0"/>
          <c:showSerName val="0"/>
          <c:showPercent val="0"/>
          <c:showBubbleSize val="0"/>
        </c:dLbls>
        <c:marker val="1"/>
        <c:smooth val="0"/>
        <c:axId val="589634335"/>
        <c:axId val="411311375"/>
      </c:lineChart>
      <c:catAx>
        <c:axId val="589634335"/>
        <c:scaling>
          <c:orientation val="minMax"/>
        </c:scaling>
        <c:delete val="0"/>
        <c:axPos val="b"/>
        <c:title>
          <c:tx>
            <c:rich>
              <a:bodyPr/>
              <a:lstStyle/>
              <a:p>
                <a:pPr>
                  <a:defRPr/>
                </a:pPr>
                <a:r>
                  <a:rPr lang="en-IN"/>
                  <a:t>Data Point</a:t>
                </a:r>
              </a:p>
            </c:rich>
          </c:tx>
          <c:overlay val="0"/>
        </c:title>
        <c:majorTickMark val="out"/>
        <c:minorTickMark val="none"/>
        <c:tickLblPos val="nextTo"/>
        <c:crossAx val="411311375"/>
        <c:crosses val="autoZero"/>
        <c:auto val="1"/>
        <c:lblAlgn val="ctr"/>
        <c:lblOffset val="100"/>
        <c:noMultiLvlLbl val="0"/>
      </c:catAx>
      <c:valAx>
        <c:axId val="411311375"/>
        <c:scaling>
          <c:orientation val="minMax"/>
        </c:scaling>
        <c:delete val="0"/>
        <c:axPos val="l"/>
        <c:title>
          <c:tx>
            <c:rich>
              <a:bodyPr/>
              <a:lstStyle/>
              <a:p>
                <a:pPr>
                  <a:defRPr/>
                </a:pPr>
                <a:r>
                  <a:rPr lang="en-IN"/>
                  <a:t>Value</a:t>
                </a:r>
              </a:p>
            </c:rich>
          </c:tx>
          <c:overlay val="0"/>
        </c:title>
        <c:numFmt formatCode="General" sourceLinked="1"/>
        <c:majorTickMark val="out"/>
        <c:minorTickMark val="none"/>
        <c:tickLblPos val="nextTo"/>
        <c:crossAx val="589634335"/>
        <c:crosses val="autoZero"/>
        <c:crossBetween val="midCat"/>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 FY23_24</c:v>
          </c:tx>
          <c:spPr>
            <a:solidFill>
              <a:schemeClr val="accent2"/>
            </a:solidFill>
            <a:ln>
              <a:noFill/>
            </a:ln>
            <a:effectLst/>
          </c:spPr>
          <c:invertIfNegative val="0"/>
          <c:cat>
            <c:strLit>
              <c:ptCount val="10"/>
              <c:pt idx="0">
                <c:v>Cayman Islands</c:v>
              </c:pt>
              <c:pt idx="1">
                <c:v>Cyprus</c:v>
              </c:pt>
              <c:pt idx="2">
                <c:v>Germany</c:v>
              </c:pt>
              <c:pt idx="3">
                <c:v>Japan</c:v>
              </c:pt>
              <c:pt idx="4">
                <c:v>Mauritius</c:v>
              </c:pt>
              <c:pt idx="5">
                <c:v>Netherland</c:v>
              </c:pt>
              <c:pt idx="6">
                <c:v>Singapore</c:v>
              </c:pt>
              <c:pt idx="7">
                <c:v>U.S.A.</c:v>
              </c:pt>
              <c:pt idx="8">
                <c:v>UAE</c:v>
              </c:pt>
              <c:pt idx="9">
                <c:v>United Kingdom</c:v>
              </c:pt>
            </c:strLit>
          </c:cat>
          <c:val>
            <c:numLit>
              <c:formatCode>General</c:formatCode>
              <c:ptCount val="10"/>
              <c:pt idx="0">
                <c:v>342</c:v>
              </c:pt>
              <c:pt idx="1">
                <c:v>806</c:v>
              </c:pt>
              <c:pt idx="2">
                <c:v>505</c:v>
              </c:pt>
              <c:pt idx="3">
                <c:v>3177</c:v>
              </c:pt>
              <c:pt idx="4">
                <c:v>7970</c:v>
              </c:pt>
              <c:pt idx="5">
                <c:v>4924</c:v>
              </c:pt>
              <c:pt idx="6">
                <c:v>11774</c:v>
              </c:pt>
              <c:pt idx="7">
                <c:v>4998</c:v>
              </c:pt>
              <c:pt idx="8">
                <c:v>2924</c:v>
              </c:pt>
              <c:pt idx="9">
                <c:v>1216</c:v>
              </c:pt>
            </c:numLit>
          </c:val>
          <c:extLst>
            <c:ext xmlns:c16="http://schemas.microsoft.com/office/drawing/2014/chart" uri="{C3380CC4-5D6E-409C-BE32-E72D297353CC}">
              <c16:uniqueId val="{00000000-C836-4336-BA4E-42D7BF66F8A4}"/>
            </c:ext>
          </c:extLst>
        </c:ser>
        <c:ser>
          <c:idx val="1"/>
          <c:order val="1"/>
          <c:tx>
            <c:v> FY24_25</c:v>
          </c:tx>
          <c:spPr>
            <a:solidFill>
              <a:schemeClr val="accent4"/>
            </a:solidFill>
            <a:ln>
              <a:noFill/>
            </a:ln>
            <a:effectLst/>
          </c:spPr>
          <c:invertIfNegative val="0"/>
          <c:cat>
            <c:strLit>
              <c:ptCount val="10"/>
              <c:pt idx="0">
                <c:v>Cayman Islands</c:v>
              </c:pt>
              <c:pt idx="1">
                <c:v>Cyprus</c:v>
              </c:pt>
              <c:pt idx="2">
                <c:v>Germany</c:v>
              </c:pt>
              <c:pt idx="3">
                <c:v>Japan</c:v>
              </c:pt>
              <c:pt idx="4">
                <c:v>Mauritius</c:v>
              </c:pt>
              <c:pt idx="5">
                <c:v>Netherland</c:v>
              </c:pt>
              <c:pt idx="6">
                <c:v>Singapore</c:v>
              </c:pt>
              <c:pt idx="7">
                <c:v>U.S.A.</c:v>
              </c:pt>
              <c:pt idx="8">
                <c:v>UAE</c:v>
              </c:pt>
              <c:pt idx="9">
                <c:v>United Kingdom</c:v>
              </c:pt>
            </c:strLit>
          </c:cat>
          <c:val>
            <c:numLit>
              <c:formatCode>General</c:formatCode>
              <c:ptCount val="10"/>
              <c:pt idx="0">
                <c:v>371</c:v>
              </c:pt>
              <c:pt idx="1">
                <c:v>1203</c:v>
              </c:pt>
              <c:pt idx="2">
                <c:v>469</c:v>
              </c:pt>
              <c:pt idx="3">
                <c:v>2478</c:v>
              </c:pt>
              <c:pt idx="4">
                <c:v>8344</c:v>
              </c:pt>
              <c:pt idx="5">
                <c:v>4620</c:v>
              </c:pt>
              <c:pt idx="6">
                <c:v>14942</c:v>
              </c:pt>
              <c:pt idx="7">
                <c:v>5457</c:v>
              </c:pt>
              <c:pt idx="8">
                <c:v>4345</c:v>
              </c:pt>
              <c:pt idx="9">
                <c:v>795</c:v>
              </c:pt>
            </c:numLit>
          </c:val>
          <c:extLst>
            <c:ext xmlns:c16="http://schemas.microsoft.com/office/drawing/2014/chart" uri="{C3380CC4-5D6E-409C-BE32-E72D297353CC}">
              <c16:uniqueId val="{0000000B-C836-4336-BA4E-42D7BF66F8A4}"/>
            </c:ext>
          </c:extLst>
        </c:ser>
        <c:ser>
          <c:idx val="2"/>
          <c:order val="2"/>
          <c:tx>
            <c:v>FY25_26</c:v>
          </c:tx>
          <c:spPr>
            <a:solidFill>
              <a:schemeClr val="accent6"/>
            </a:solidFill>
            <a:ln>
              <a:noFill/>
            </a:ln>
            <a:effectLst/>
          </c:spPr>
          <c:invertIfNegative val="0"/>
          <c:cat>
            <c:strLit>
              <c:ptCount val="10"/>
              <c:pt idx="0">
                <c:v>Cayman Islands</c:v>
              </c:pt>
              <c:pt idx="1">
                <c:v>Cyprus</c:v>
              </c:pt>
              <c:pt idx="2">
                <c:v>Germany</c:v>
              </c:pt>
              <c:pt idx="3">
                <c:v>Japan</c:v>
              </c:pt>
              <c:pt idx="4">
                <c:v>Mauritius</c:v>
              </c:pt>
              <c:pt idx="5">
                <c:v>Netherland</c:v>
              </c:pt>
              <c:pt idx="6">
                <c:v>Singapore</c:v>
              </c:pt>
              <c:pt idx="7">
                <c:v>U.S.A.</c:v>
              </c:pt>
              <c:pt idx="8">
                <c:v>UAE</c:v>
              </c:pt>
              <c:pt idx="9">
                <c:v>United Kingdom</c:v>
              </c:pt>
            </c:strLit>
          </c:cat>
          <c:val>
            <c:numLit>
              <c:formatCode>General</c:formatCode>
              <c:ptCount val="10"/>
              <c:pt idx="0">
                <c:v>2084</c:v>
              </c:pt>
              <c:pt idx="1">
                <c:v>1412</c:v>
              </c:pt>
              <c:pt idx="2">
                <c:v>495</c:v>
              </c:pt>
              <c:pt idx="3">
                <c:v>3745</c:v>
              </c:pt>
              <c:pt idx="4">
                <c:v>6576</c:v>
              </c:pt>
              <c:pt idx="5">
                <c:v>3374</c:v>
              </c:pt>
              <c:pt idx="6">
                <c:v>19802</c:v>
              </c:pt>
              <c:pt idx="7">
                <c:v>11171</c:v>
              </c:pt>
              <c:pt idx="8">
                <c:v>2738</c:v>
              </c:pt>
              <c:pt idx="9">
                <c:v>1007</c:v>
              </c:pt>
            </c:numLit>
          </c:val>
          <c:extLst>
            <c:ext xmlns:c16="http://schemas.microsoft.com/office/drawing/2014/chart" uri="{C3380CC4-5D6E-409C-BE32-E72D297353CC}">
              <c16:uniqueId val="{0000000C-C836-4336-BA4E-42D7BF66F8A4}"/>
            </c:ext>
          </c:extLst>
        </c:ser>
        <c:dLbls>
          <c:showLegendKey val="0"/>
          <c:showVal val="0"/>
          <c:showCatName val="0"/>
          <c:showSerName val="0"/>
          <c:showPercent val="0"/>
          <c:showBubbleSize val="0"/>
        </c:dLbls>
        <c:gapWidth val="150"/>
        <c:axId val="786593200"/>
        <c:axId val="757602416"/>
      </c:barChart>
      <c:catAx>
        <c:axId val="786593200"/>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602416"/>
        <c:crosses val="autoZero"/>
        <c:auto val="1"/>
        <c:lblAlgn val="ctr"/>
        <c:lblOffset val="100"/>
        <c:noMultiLvlLbl val="0"/>
        <c:extLst>
          <c:ext xmlns:c15="http://schemas.microsoft.com/office/drawing/2012/chart" uri="{F40574EE-89B7-4290-83BB-5DA773EAF853}">
            <c15:numFmt c:formatCode="General" c:sourceLinked="1"/>
          </c:ext>
        </c:extLst>
      </c:catAx>
      <c:valAx>
        <c:axId val="757602416"/>
        <c:scaling>
          <c:orientation val="minMax"/>
          <c:max val="20000"/>
          <c:min val="0"/>
        </c:scaling>
        <c:delete val="0"/>
        <c:axPos val="l"/>
        <c:majorGridlines>
          <c:spPr>
            <a:ln w="9525" cap="flat" cmpd="sng" algn="ctr">
              <a:solidFill>
                <a:schemeClr val="tx1">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593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91029894619573937"/>
          <c:y val="0.27510430718072593"/>
          <c:w val="7.6603850124270803E-2"/>
          <c:h val="0.259581202748062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[Final data.xlsx]PivotChartTable1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data.xlsx]Trade item visuals!PivotTable1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'Trade item visuals'!$B$3</c:f>
              <c:strCache>
                <c:ptCount val="1"/>
                <c:pt idx="0">
                  <c:v>Sum of Exports_23_24</c:v>
                </c:pt>
              </c:strCache>
            </c:strRef>
          </c:tx>
          <c:spPr>
            <a:solidFill>
              <a:schemeClr val="accent1"/>
            </a:solidFill>
            <a:ln>
              <a:noFill/>
            </a:ln>
            <a:effectLst/>
          </c:spPr>
          <c:invertIfNegative val="0"/>
          <c:cat>
            <c:strRef>
              <c:f>'Trade item visuals'!$A$4:$A$13</c:f>
              <c:strCache>
                <c:ptCount val="10"/>
                <c:pt idx="0">
                  <c:v>ARTICLES OF IRON OR STEEL</c:v>
                </c:pt>
                <c:pt idx="1">
                  <c:v>CEREALS.</c:v>
                </c:pt>
                <c:pt idx="2">
                  <c:v>ELECTRICAL MACHINERY AND EQUIPMENT AND PARTS THEREOF; SOUND RECORDERS AND REPRODUCERS, TELEVISION IM</c:v>
                </c:pt>
                <c:pt idx="3">
                  <c:v>IRON AND STEEL</c:v>
                </c:pt>
                <c:pt idx="4">
                  <c:v>MINERAL FUELS, MINERAL OILS AND PRODUCTS OF THEIR DISTILLATION; BITUMINOUS SUBSTANCES; MINERAL WAXES</c:v>
                </c:pt>
                <c:pt idx="5">
                  <c:v>NATURAL OR CULTURED PEARLS,PRECIOUS OR SEMIPRECIOUS STONES,PRE.METALS,CLAD WITH PRE.METAL AND ARTCLS</c:v>
                </c:pt>
                <c:pt idx="6">
                  <c:v>NUCLEAR REACTORS, BOILERS, MACHINERY AND MECHANICAL APPLIANCES; PARTS THEREOF.</c:v>
                </c:pt>
                <c:pt idx="7">
                  <c:v>ORGANIC CHEMICALS</c:v>
                </c:pt>
                <c:pt idx="8">
                  <c:v>PHARMACEUTICAL PRODUCTS</c:v>
                </c:pt>
                <c:pt idx="9">
                  <c:v>VEHICLES OTHER THAN RAILWAY OR TRAMWAY ROLLING STOCK, AND PARTS AND ACCESSORIES THEREOF.</c:v>
                </c:pt>
              </c:strCache>
            </c:strRef>
          </c:cat>
          <c:val>
            <c:numRef>
              <c:f>'Trade item visuals'!$B$4:$B$13</c:f>
              <c:numCache>
                <c:formatCode>General</c:formatCode>
                <c:ptCount val="10"/>
                <c:pt idx="0">
                  <c:v>9939.099609375</c:v>
                </c:pt>
                <c:pt idx="1">
                  <c:v>10994.0302734375</c:v>
                </c:pt>
                <c:pt idx="2">
                  <c:v>34412.51953125</c:v>
                </c:pt>
                <c:pt idx="3">
                  <c:v>11859.3603515625</c:v>
                </c:pt>
                <c:pt idx="4">
                  <c:v>87602.3828125</c:v>
                </c:pt>
                <c:pt idx="5">
                  <c:v>32853.1015625</c:v>
                </c:pt>
                <c:pt idx="6">
                  <c:v>30057.0703125</c:v>
                </c:pt>
                <c:pt idx="7">
                  <c:v>20311.5</c:v>
                </c:pt>
                <c:pt idx="8">
                  <c:v>22105.849609375</c:v>
                </c:pt>
                <c:pt idx="9">
                  <c:v>20889.30078125</c:v>
                </c:pt>
              </c:numCache>
            </c:numRef>
          </c:val>
          <c:extLst>
            <c:ext xmlns:c16="http://schemas.microsoft.com/office/drawing/2014/chart" uri="{C3380CC4-5D6E-409C-BE32-E72D297353CC}">
              <c16:uniqueId val="{00000000-3684-401E-AD11-39171A76AD11}"/>
            </c:ext>
          </c:extLst>
        </c:ser>
        <c:ser>
          <c:idx val="1"/>
          <c:order val="1"/>
          <c:tx>
            <c:strRef>
              <c:f>'Trade item visuals'!$C$3</c:f>
              <c:strCache>
                <c:ptCount val="1"/>
                <c:pt idx="0">
                  <c:v>Sum of Imports_23_24</c:v>
                </c:pt>
              </c:strCache>
            </c:strRef>
          </c:tx>
          <c:spPr>
            <a:solidFill>
              <a:schemeClr val="accent2"/>
            </a:solidFill>
            <a:ln>
              <a:noFill/>
            </a:ln>
            <a:effectLst/>
          </c:spPr>
          <c:invertIfNegative val="0"/>
          <c:cat>
            <c:strRef>
              <c:f>'Trade item visuals'!$A$4:$A$13</c:f>
              <c:strCache>
                <c:ptCount val="10"/>
                <c:pt idx="0">
                  <c:v>ARTICLES OF IRON OR STEEL</c:v>
                </c:pt>
                <c:pt idx="1">
                  <c:v>CEREALS.</c:v>
                </c:pt>
                <c:pt idx="2">
                  <c:v>ELECTRICAL MACHINERY AND EQUIPMENT AND PARTS THEREOF; SOUND RECORDERS AND REPRODUCERS, TELEVISION IM</c:v>
                </c:pt>
                <c:pt idx="3">
                  <c:v>IRON AND STEEL</c:v>
                </c:pt>
                <c:pt idx="4">
                  <c:v>MINERAL FUELS, MINERAL OILS AND PRODUCTS OF THEIR DISTILLATION; BITUMINOUS SUBSTANCES; MINERAL WAXES</c:v>
                </c:pt>
                <c:pt idx="5">
                  <c:v>NATURAL OR CULTURED PEARLS,PRECIOUS OR SEMIPRECIOUS STONES,PRE.METALS,CLAD WITH PRE.METAL AND ARTCLS</c:v>
                </c:pt>
                <c:pt idx="6">
                  <c:v>NUCLEAR REACTORS, BOILERS, MACHINERY AND MECHANICAL APPLIANCES; PARTS THEREOF.</c:v>
                </c:pt>
                <c:pt idx="7">
                  <c:v>ORGANIC CHEMICALS</c:v>
                </c:pt>
                <c:pt idx="8">
                  <c:v>PHARMACEUTICAL PRODUCTS</c:v>
                </c:pt>
                <c:pt idx="9">
                  <c:v>VEHICLES OTHER THAN RAILWAY OR TRAMWAY ROLLING STOCK, AND PARTS AND ACCESSORIES THEREOF.</c:v>
                </c:pt>
              </c:strCache>
            </c:strRef>
          </c:cat>
          <c:val>
            <c:numRef>
              <c:f>'Trade item visuals'!$C$4:$C$13</c:f>
              <c:numCache>
                <c:formatCode>General</c:formatCode>
                <c:ptCount val="10"/>
                <c:pt idx="0">
                  <c:v>5112.64990234375</c:v>
                </c:pt>
                <c:pt idx="1">
                  <c:v>133.13999938964844</c:v>
                </c:pt>
                <c:pt idx="2">
                  <c:v>79300.6875</c:v>
                </c:pt>
                <c:pt idx="3">
                  <c:v>18645.6796875</c:v>
                </c:pt>
                <c:pt idx="4">
                  <c:v>219053.65625</c:v>
                </c:pt>
                <c:pt idx="5">
                  <c:v>78473.546875</c:v>
                </c:pt>
                <c:pt idx="6">
                  <c:v>57408.94140625</c:v>
                </c:pt>
                <c:pt idx="7">
                  <c:v>26745.08984375</c:v>
                </c:pt>
                <c:pt idx="8">
                  <c:v>2584.669921875</c:v>
                </c:pt>
                <c:pt idx="9">
                  <c:v>7609.7900390625</c:v>
                </c:pt>
              </c:numCache>
            </c:numRef>
          </c:val>
          <c:extLst>
            <c:ext xmlns:c16="http://schemas.microsoft.com/office/drawing/2014/chart" uri="{C3380CC4-5D6E-409C-BE32-E72D297353CC}">
              <c16:uniqueId val="{00000002-3684-401E-AD11-39171A76AD11}"/>
            </c:ext>
          </c:extLst>
        </c:ser>
        <c:dLbls>
          <c:showLegendKey val="0"/>
          <c:showVal val="0"/>
          <c:showCatName val="0"/>
          <c:showSerName val="0"/>
          <c:showPercent val="0"/>
          <c:showBubbleSize val="0"/>
        </c:dLbls>
        <c:gapWidth val="219"/>
        <c:overlap val="100"/>
        <c:axId val="1451255151"/>
        <c:axId val="202026159"/>
      </c:barChart>
      <c:catAx>
        <c:axId val="145125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26159"/>
        <c:crosses val="autoZero"/>
        <c:auto val="1"/>
        <c:lblAlgn val="ctr"/>
        <c:lblOffset val="100"/>
        <c:noMultiLvlLbl val="0"/>
      </c:catAx>
      <c:valAx>
        <c:axId val="20202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25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13</xdr:col>
      <xdr:colOff>76200</xdr:colOff>
      <xdr:row>0</xdr:row>
      <xdr:rowOff>76200</xdr:rowOff>
    </xdr:from>
    <xdr:to>
      <xdr:col>14</xdr:col>
      <xdr:colOff>469900</xdr:colOff>
      <xdr:row>10</xdr:row>
      <xdr:rowOff>133350</xdr:rowOff>
    </xdr:to>
    <mc:AlternateContent xmlns:mc="http://schemas.openxmlformats.org/markup-compatibility/2006" xmlns:sle15="http://schemas.microsoft.com/office/drawing/2012/slicer">
      <mc:Choice Requires="sle15">
        <xdr:graphicFrame macro="">
          <xdr:nvGraphicFramePr>
            <xdr:cNvPr id="15" name="Year 2">
              <a:extLst>
                <a:ext uri="{FF2B5EF4-FFF2-40B4-BE49-F238E27FC236}">
                  <a16:creationId xmlns:a16="http://schemas.microsoft.com/office/drawing/2014/main" id="{883C7FD7-93F5-4D05-AA11-CF95B78B20B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540750" y="76200"/>
              <a:ext cx="1003300" cy="18986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514350</xdr:colOff>
      <xdr:row>0</xdr:row>
      <xdr:rowOff>57150</xdr:rowOff>
    </xdr:from>
    <xdr:to>
      <xdr:col>17</xdr:col>
      <xdr:colOff>527050</xdr:colOff>
      <xdr:row>10</xdr:row>
      <xdr:rowOff>88900</xdr:rowOff>
    </xdr:to>
    <mc:AlternateContent xmlns:mc="http://schemas.openxmlformats.org/markup-compatibility/2006" xmlns:sle15="http://schemas.microsoft.com/office/drawing/2012/slicer">
      <mc:Choice Requires="sle15">
        <xdr:graphicFrame macro="">
          <xdr:nvGraphicFramePr>
            <xdr:cNvPr id="16" name="Month 2">
              <a:extLst>
                <a:ext uri="{FF2B5EF4-FFF2-40B4-BE49-F238E27FC236}">
                  <a16:creationId xmlns:a16="http://schemas.microsoft.com/office/drawing/2014/main" id="{DC288EB4-C55A-4AD1-B5EF-FB938E8F9EF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9588500" y="57150"/>
              <a:ext cx="1841500" cy="18732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50801</xdr:rowOff>
    </xdr:from>
    <xdr:to>
      <xdr:col>13</xdr:col>
      <xdr:colOff>6350</xdr:colOff>
      <xdr:row>12</xdr:row>
      <xdr:rowOff>177800</xdr:rowOff>
    </xdr:to>
    <xdr:graphicFrame macro="">
      <xdr:nvGraphicFramePr>
        <xdr:cNvPr id="19" name="Chart 18">
          <a:extLst>
            <a:ext uri="{FF2B5EF4-FFF2-40B4-BE49-F238E27FC236}">
              <a16:creationId xmlns:a16="http://schemas.microsoft.com/office/drawing/2014/main" id="{C8B97961-1AAF-4697-A00F-0695BB6D9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13</xdr:row>
      <xdr:rowOff>165100</xdr:rowOff>
    </xdr:from>
    <xdr:to>
      <xdr:col>19</xdr:col>
      <xdr:colOff>38100</xdr:colOff>
      <xdr:row>32</xdr:row>
      <xdr:rowOff>38100</xdr:rowOff>
    </xdr:to>
    <xdr:graphicFrame macro="">
      <xdr:nvGraphicFramePr>
        <xdr:cNvPr id="7" name="Chart 6">
          <a:extLst>
            <a:ext uri="{FF2B5EF4-FFF2-40B4-BE49-F238E27FC236}">
              <a16:creationId xmlns:a16="http://schemas.microsoft.com/office/drawing/2014/main" id="{F94CBDF9-97AC-4842-B325-DCBBD9CE1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35</xdr:row>
      <xdr:rowOff>57150</xdr:rowOff>
    </xdr:from>
    <xdr:to>
      <xdr:col>18</xdr:col>
      <xdr:colOff>146050</xdr:colOff>
      <xdr:row>53</xdr:row>
      <xdr:rowOff>114300</xdr:rowOff>
    </xdr:to>
    <xdr:graphicFrame macro="">
      <xdr:nvGraphicFramePr>
        <xdr:cNvPr id="8" name="Chart 7">
          <a:extLst>
            <a:ext uri="{FF2B5EF4-FFF2-40B4-BE49-F238E27FC236}">
              <a16:creationId xmlns:a16="http://schemas.microsoft.com/office/drawing/2014/main" id="{CFA8E557-0013-BC5E-9F7D-9AF1242A2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11</xdr:row>
      <xdr:rowOff>133350</xdr:rowOff>
    </xdr:from>
    <xdr:to>
      <xdr:col>1</xdr:col>
      <xdr:colOff>1250950</xdr:colOff>
      <xdr:row>24</xdr:row>
      <xdr:rowOff>63500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1FA4C219-C787-7F4D-77FB-B3A3E0A06DD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5400" y="2159000"/>
              <a:ext cx="217805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1317624</xdr:colOff>
      <xdr:row>11</xdr:row>
      <xdr:rowOff>127000</xdr:rowOff>
    </xdr:from>
    <xdr:to>
      <xdr:col>6</xdr:col>
      <xdr:colOff>482599</xdr:colOff>
      <xdr:row>29</xdr:row>
      <xdr:rowOff>0</xdr:rowOff>
    </xdr:to>
    <xdr:graphicFrame macro="">
      <xdr:nvGraphicFramePr>
        <xdr:cNvPr id="2" name="Chart 1">
          <a:extLst>
            <a:ext uri="{FF2B5EF4-FFF2-40B4-BE49-F238E27FC236}">
              <a16:creationId xmlns:a16="http://schemas.microsoft.com/office/drawing/2014/main" id="{E03227E5-575E-74FF-E444-A75CEFD13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107950</xdr:colOff>
      <xdr:row>1</xdr:row>
      <xdr:rowOff>25400</xdr:rowOff>
    </xdr:from>
    <xdr:to>
      <xdr:col>14</xdr:col>
      <xdr:colOff>222250</xdr:colOff>
      <xdr:row>21</xdr:row>
      <xdr:rowOff>120650</xdr:rowOff>
    </xdr:to>
    <xdr:graphicFrame macro="">
      <xdr:nvGraphicFramePr>
        <xdr:cNvPr id="2" name="Chart 1">
          <a:extLst>
            <a:ext uri="{FF2B5EF4-FFF2-40B4-BE49-F238E27FC236}">
              <a16:creationId xmlns:a16="http://schemas.microsoft.com/office/drawing/2014/main" id="{F132E38C-A248-9E3D-D925-16202DED7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25400</xdr:colOff>
      <xdr:row>0</xdr:row>
      <xdr:rowOff>0</xdr:rowOff>
    </xdr:from>
    <xdr:to>
      <xdr:col>8</xdr:col>
      <xdr:colOff>25400</xdr:colOff>
      <xdr:row>6</xdr:row>
      <xdr:rowOff>171450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D4E7B9E-3CEC-FAA3-3A34-E574836583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68850" y="0"/>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69850</xdr:colOff>
      <xdr:row>0</xdr:row>
      <xdr:rowOff>0</xdr:rowOff>
    </xdr:from>
    <xdr:to>
      <xdr:col>11</xdr:col>
      <xdr:colOff>69850</xdr:colOff>
      <xdr:row>6</xdr:row>
      <xdr:rowOff>152400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A42DA7BE-929F-DA10-EA8D-25411F8735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42100" y="0"/>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u" refreshedDate="46269.449714699076" createdVersion="8" refreshedVersion="8" minRefreshableVersion="3" recordCount="10" xr:uid="{88BA48BB-C1B9-49B7-B4C1-EBC0D07BFEC9}">
  <cacheSource type="worksheet">
    <worksheetSource name="fdi_of_country"/>
  </cacheSource>
  <cacheFields count="9">
    <cacheField name="Country" numFmtId="0">
      <sharedItems count="10">
        <s v="Singapore"/>
        <s v="Mauritius"/>
        <s v="U.S.A."/>
        <s v="Netherland"/>
        <s v="Japan"/>
        <s v="United Kingdom"/>
        <s v="UAE"/>
        <s v="Cayman Islands"/>
        <s v="Cyprus"/>
        <s v="Germany"/>
      </sharedItems>
    </cacheField>
    <cacheField name="FY23_24" numFmtId="0">
      <sharedItems containsSemiMixedTypes="0" containsString="0" containsNumber="1" containsInteger="1" minValue="342" maxValue="11774" count="10">
        <n v="11774"/>
        <n v="7970"/>
        <n v="4998"/>
        <n v="4924"/>
        <n v="3177"/>
        <n v="1216"/>
        <n v="2924"/>
        <n v="342"/>
        <n v="806"/>
        <n v="505"/>
      </sharedItems>
    </cacheField>
    <cacheField name="FY24_25" numFmtId="0">
      <sharedItems containsSemiMixedTypes="0" containsString="0" containsNumber="1" containsInteger="1" minValue="371" maxValue="14942" count="10">
        <n v="14942"/>
        <n v="8344"/>
        <n v="5457"/>
        <n v="4620"/>
        <n v="2478"/>
        <n v="795"/>
        <n v="4345"/>
        <n v="371"/>
        <n v="1203"/>
        <n v="469"/>
      </sharedItems>
    </cacheField>
    <cacheField name="percent_cahnge_from_FY23_24" numFmtId="0">
      <sharedItems containsSemiMixedTypes="0" containsString="0" containsNumber="1" minValue="-34.619999999999997" maxValue="49.26" count="10">
        <n v="26.91"/>
        <n v="4.6900000000000004"/>
        <n v="9.18"/>
        <n v="-6.17"/>
        <n v="-22"/>
        <n v="-34.619999999999997"/>
        <n v="48.6"/>
        <n v="8.48"/>
        <n v="49.26"/>
        <n v="-7.13"/>
      </sharedItems>
    </cacheField>
    <cacheField name="FY25_26" numFmtId="0">
      <sharedItems containsSemiMixedTypes="0" containsString="0" containsNumber="1" containsInteger="1" minValue="495" maxValue="19802" count="10">
        <n v="19802"/>
        <n v="6576"/>
        <n v="11171"/>
        <n v="3374"/>
        <n v="3745"/>
        <n v="1007"/>
        <n v="2738"/>
        <n v="2084"/>
        <n v="1412"/>
        <n v="495"/>
      </sharedItems>
    </cacheField>
    <cacheField name="percent_cahnge_from_FY24_25" numFmtId="0">
      <sharedItems containsSemiMixedTypes="0" containsString="0" containsNumber="1" minValue="-36.99" maxValue="461.73" count="10">
        <n v="32.53"/>
        <n v="-21.19"/>
        <n v="104.71"/>
        <n v="-26.97"/>
        <n v="51.13"/>
        <n v="26.67"/>
        <n v="-36.99"/>
        <n v="461.73"/>
        <n v="17.37"/>
        <n v="5.54"/>
      </sharedItems>
    </cacheField>
    <cacheField name="Net_change_in_3_yrs" numFmtId="0">
      <sharedItems containsSemiMixedTypes="0" containsString="0" containsNumber="1" minValue="-31.48" maxValue="509.36" count="10">
        <n v="68.19"/>
        <n v="-17.489999999999998"/>
        <n v="123.5"/>
        <n v="-31.48"/>
        <n v="17.88"/>
        <n v="-17.18"/>
        <n v="-6.37"/>
        <n v="509.36"/>
        <n v="75.19"/>
        <n v="-1.99"/>
      </sharedItems>
    </cacheField>
    <cacheField name="Total_FDI" numFmtId="0">
      <sharedItems containsSemiMixedTypes="0" containsString="0" containsNumber="1" containsInteger="1" minValue="1469" maxValue="46518" count="10">
        <n v="46518"/>
        <n v="22890"/>
        <n v="21626"/>
        <n v="12918"/>
        <n v="9400"/>
        <n v="3018"/>
        <n v="10007"/>
        <n v="2797"/>
        <n v="3421"/>
        <n v="1469"/>
      </sharedItems>
    </cacheField>
    <cacheField name="Median FDI" numFmtId="0">
      <sharedItems containsSemiMixedTypes="0" containsString="0" containsNumber="1" containsInteger="1" minValue="371" maxValue="14942" count="10">
        <n v="14942"/>
        <n v="7970"/>
        <n v="5457"/>
        <n v="4620"/>
        <n v="3177"/>
        <n v="1007"/>
        <n v="2924"/>
        <n v="371"/>
        <n v="1203"/>
        <n v="495"/>
      </sharedItems>
    </cacheField>
  </cacheFields>
  <extLst>
    <ext xmlns:x14="http://schemas.microsoft.com/office/spreadsheetml/2009/9/main" uri="{725AE2AE-9491-48be-B2B4-4EB974FC3084}">
      <x14:pivotCacheDefinition pivotCacheId="1370040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u" refreshedDate="46269.825881365738" createdVersion="8" refreshedVersion="8" minRefreshableVersion="3" recordCount="98" xr:uid="{7EC74301-61B2-4EA0-BE85-3E4AF347D38D}">
  <cacheSource type="worksheet">
    <worksheetSource name="final_trade__2"/>
  </cacheSource>
  <cacheFields count="26">
    <cacheField name="S_no" numFmtId="0">
      <sharedItems containsSemiMixedTypes="0" containsString="0" containsNumber="1" containsInteger="1" minValue="1" maxValue="98"/>
    </cacheField>
    <cacheField name="Commodity" numFmtId="0">
      <sharedItems count="98">
        <s v="LIVE ANIMALS."/>
        <s v="MEAT AND EDIBLE MEAT OFFAL."/>
        <s v="FISH AND CRUSTACEANS, MOLLUSCS AND OTHER AQUATIC INVERTABRATES."/>
        <s v="DAIRY PRODUCE; BIRDS' EGGS; NATURAL HONEY; EDIBLE PROD. OF ANIMAL ORIGIN, NOT ELSEWHERE SPEC. OR INC"/>
        <s v="PRODUCTS OF ANIMAL ORIGIN, NOT ELSEWHERE SPECIFIED OR INCLUDED."/>
        <s v="LIVE TREES AND OTHER PLANTS; BULBS; ROOTS AND THE LIKE; CUT FLOWERS AND ORNAMENTAL FOLIAGE."/>
        <s v="EDIBLE VEGETABLES AND CERTAIN ROOTS AND TUBERS."/>
        <s v="EDIBLE FRUIT AND NUTS; PEEL OR CITRUS FRUIT OR MELONS."/>
        <s v="COFFEE, TEA, MATE AND SPICES."/>
        <s v="CEREALS."/>
        <s v="PRODUCTS OF THE MILLING INDUSTRY; MALT; STARCHES; INULIN; WHEAT GLUTEN."/>
        <s v="OIL SEEDS AND OLEA. FRUITS; MISC. GRAINS, SEEDS AND FRUIT; INDUSTRIAL OR MEDICINAL PLANTS; STRAW AND"/>
        <s v="LAC; GUMS, RESINS AND OTHER VEGETABLE SAPS AND EXTRACTS."/>
        <s v="VEGETABLE PLAITING MATERIALS; VEGETABLE PRODUCTS NOT ELSEWHERE SPECIFIED OR INCLUDED."/>
        <s v="ANIMAL OR VEGETABLE FATS AND OILS AND THEIR CLEAVAGE PRODUCTS; PRE. EDIBLE FATS; ANIMAL OR VEGETABLE"/>
        <s v="PREPARATIONS OF MEAT, OF FISH OR OF CRUSTACEANS, MOLLUSCS OR OTHER AQUATIC INVERTEBRATES"/>
        <s v="SUGARS AND SUGAR CONFECTIONERY."/>
        <s v="COCOA AND COCOA PREPARATIONS."/>
        <s v="PREPARATIONS OF CEREALS, FLOUR, STARCH OR MILK; PASTRYCOOKS PRODUCTS."/>
        <s v="PREPARATIONS OF VEGETABLES, FRUIT, NUTS OR OTHER PARTS OF PLANTS."/>
        <s v="MISCELLANEOUS EDIBLE PREPARATIONS."/>
        <s v="BEVERAGES, SPIRITS AND VINEGAR."/>
        <s v="RESIDUES AND WASTE FROM THE FOOD INDUSTRIES; PREPARED ANIMAL FODER."/>
        <s v="TOBACCO AND MANUFACTURED TOBACCO SUBSTITUTES."/>
        <s v="SALT; SULPHUR; EARTHS AND STONE; PLASTERING MATERIALS, LIME AND CEMENT."/>
        <s v="ORES, SLAG AND ASH."/>
        <s v="MINERAL FUELS, MINERAL OILS AND PRODUCTS OF THEIR DISTILLATION; BITUMINOUS SUBSTANCES; MINERAL WAXES"/>
        <s v="INORGANIC CHEMICALS; ORGANIC OR INORGANIC COMPOUNDS OF PRECIOUS METALS, OF RARE-EARTH METALS, OR RAD"/>
        <s v="ORGANIC CHEMICALS"/>
        <s v="PHARMACEUTICAL PRODUCTS"/>
        <s v="FERTILISERS."/>
        <s v="TANNING OR DYEING EXTRACTS; TANNINS AND THEIR DERI. DYES, PIGMENTS AND OTHER COLOURING MATTER; PAINT"/>
        <s v="ESSENTIAL OILS AND RESINOIDS; PERFUMERY, COSMETIC OR TOILET PREPARATIONS."/>
        <s v="SOAP, ORGANIC SURFACE-ACTIVE AGENTS, WASHING PREPARATIONS, LUBRICATING PREPARATIONS, ARTIFICIAL WAXE"/>
        <s v="ALBUMINOIDAL SUBSTANCES; MODIFIED STARCHES; GLUES; ENZYMES."/>
        <s v="EXPLOSIVES; PYROTECHNIC PRODUCTS; MATCHES; PYROPHORIC ALLOYS; CERTAIN COMBUSTIBLE PREPARATIONS."/>
        <s v="PHOTOGRAPHIC OR CINEMATOGRAPHIC GOODS."/>
        <s v="MISCELLANEOUS CHEMICAL PRODUCTS."/>
        <s v="PLASTIC AND ARTICLES THEREOF."/>
        <s v="RUBBER AND ARTICLES THEREOF."/>
        <s v="RAW HIDES AND SKINS (OTHER THAN FURSKINS) AND LEATHER"/>
        <s v="ARTICLES OF LEATHER,SADDLERY AND HARNESS;TRAVEL GOODS, HANDBAGS AND SIMILAR CONT.ARTICLES OF ANIMAL "/>
        <s v="FURSKINS AND ARTIFICIAL FUR, MANUFACTURES THEREOF."/>
        <s v="WOOD AND ARTICLES OF WOOD; WOOD CHARCOAL."/>
        <s v="CORK AND ARTICLES OF CORK."/>
        <s v="MANUFACTURES OF STRAW, OF ESPARTO OR OF OTHER PLAITING MATERIALS; BASKETWARE AND WICKERWORK."/>
        <s v="PULP OF WOOD OR OF OTHER FIBROUS CELLULOSIC MATERIAL; WASTE AND SCRAP OF PAPER OR PAPERBOARD."/>
        <s v="PAPER AND PAPERBOARD; ARTICLES OF PAPER PULP, OF PAPER OR OF PAPERBOARD."/>
        <s v="PRINTED BOOKDS, NEWSPAPERS, PICTURES AND OTHER PRODUCTS OF THE PRINTING INDUSTRY; MANUSCRIPTS, TYPES"/>
        <s v="SILK"/>
        <s v="WOOL, FINE OR COARSE ANIMAL HAIR, HORSEHAIR YARN AND WOVEN FABRIC."/>
        <s v="COTTON."/>
        <s v="OTHER VEGETABLE TEXTILE FIBRES; PAPER YARN AND WOVEN FABRICS OF PAPER YARN."/>
        <s v="MAN-MADE FILAMENTS."/>
        <s v="MAN-MADE STAPLE FIBRES."/>
        <s v="WADDING, FELT AND NONWOVENS; SPACIAL YARNS; TWINE, CORDAGE, ROPES AND CABLES AND ARTICLES THEREOF."/>
        <s v="CARPETS AND OTHER TEXTILE FLOOR COVERINGS."/>
        <s v="SPECIAL WOVEN FABRICS; TUFTED TEXTILE FABRICS; LACE; TAPESTRIES; TRIMMINGS; EMBROIDERY."/>
        <s v="IMPREGNATED, COATED, COVERED OR LAMINATED TEXTILE FABRICS; TEXTILE ARTICLES OF A KIND SUITABLE FOR I"/>
        <s v="KNITTED OR CROCHETED FABRICS."/>
        <s v="ARTICLES OF APPAREL AND CLOTHING ACCESSORIES, KNITTED OR CORCHETED."/>
        <s v="ARTICLES OF APPAREL AND CLOTHING ACCESSORIES, NOT KNITTED OR CROCHETED."/>
        <s v="OTHER MADE UP TEXTILE ARTICLES; SETS; WORN CLOTHING AND WORN TEXTILE ARTICLES; RAGS"/>
        <s v="FOOTWEAR, GAITERS AND THE LIKE; PARTS OF SUCH ARTICLES."/>
        <s v="HEADGEAR AND PARTS THEREOF."/>
        <s v="UMBRELLAS, SUN UMBRELLAS, WALKING-STICKS, SEAT-STICKS, WHIPS,RIDING-CROPS AND PARTS THEREOF."/>
        <s v="PREPARED FEATHERS AND DOWN AND ARTICLES MADE OF FEATHERS OR OF DOWN; ARTIFICIAL FLOWERS; ARTICLES OF"/>
        <s v="ARTICLES OF STONE, PLASTER, CEMENT, ASBESTOS, MICA OR SIMILAR MATERIALS."/>
        <s v="CERAMIC PRODUCTS."/>
        <s v="GLASS AND GLASSWARE."/>
        <s v="NATURAL OR CULTURED PEARLS,PRECIOUS OR SEMIPRECIOUS STONES,PRE.METALS,CLAD WITH PRE.METAL AND ARTCLS"/>
        <s v="IRON AND STEEL"/>
        <s v="ARTICLES OF IRON OR STEEL"/>
        <s v="COPPER AND ARTICLES THEREOF."/>
        <s v="NICKEL AND ARTICLES THEREOF."/>
        <s v="ALUMINIUM AND ARTICLES THEREOF."/>
        <s v="LEAD AND ARTICLES THEREOF."/>
        <s v="ZINC AND ARTICLES THEREOF."/>
        <s v="TIN AND ARTICLES THEREOF."/>
        <s v="OTHER BASE METALS; CERMETS; ARTICLES THEREOF."/>
        <s v="TOOLS IMPLEMENTS, CUTLERY, SPOONS AND FORKS, OF BASE METAL; PARTS THEREOF OF BASE METAL."/>
        <s v="MISCELLANEOUS ARTICLES OF BASE METAL."/>
        <s v="NUCLEAR REACTORS, BOILERS, MACHINERY AND MECHANICAL APPLIANCES; PARTS THEREOF."/>
        <s v="ELECTRICAL MACHINERY AND EQUIPMENT AND PARTS THEREOF; SOUND RECORDERS AND REPRODUCERS, TELEVISION IM"/>
        <s v="RAILWAY OR TRAMWAY LOCOMOTIVES, ROLLING-STOCK AND PARTS THEREOF; RAILWAY OR TRAMWAY TRACK FIXTURES A"/>
        <s v="VEHICLES OTHER THAN RAILWAY OR TRAMWAY ROLLING STOCK, AND PARTS AND ACCESSORIES THEREOF."/>
        <s v="AIRCRAFT, SPACECRAFT, AND PARTS THEREOF."/>
        <s v="SHIPS, BOATS AND FLOATING STRUCTURES."/>
        <s v="OPTICAL, PHOTOGRAPHIC CINEMATOGRAPHIC MEASURING, CHECKING PRECISION, MEDICAL OR SURGICAL INST. AND A"/>
        <s v="CLOCKS AND WATCHES AND PARTS THEREOF."/>
        <s v="MUSICAL INSTRUMENTS; PARTS AND ACCESSORIES OF SUCH ARTICLES."/>
        <s v="ARMS AND AMMUNITION; PARTS AND ACCESSORIES THEREOF."/>
        <s v="FURNITURE; BEDDING, MATTRESSES, MATTRESS SUPPORTS, CUSHIONS AND SIMILAR STUFFED FURNISHING; LAMPS AN"/>
        <s v="TOYS, GAMES AND SPORTS REQUISITES; PARTS AND ACCESSORIES THEREOF."/>
        <s v="MISCELLANEOUS MANUFACTURED ARTICLES."/>
        <s v="WORKS OF ART COLLECTORS' PIECES AND ANTIQUES."/>
        <s v="PROJECT GOODS; SOME SPECIAL USES."/>
        <s v="MISCELLANEOUS GOODS."/>
      </sharedItems>
    </cacheField>
    <cacheField name="Exports_23_24" numFmtId="0">
      <sharedItems containsSemiMixedTypes="0" containsString="0" containsNumber="1" minValue="4.5199999809265137" maxValue="87602.3828125" count="98">
        <n v="12.369999885559082"/>
        <n v="3832.60009765625"/>
        <n v="6124.2099609375"/>
        <n v="624.77001953125"/>
        <n v="268.95001220703125"/>
        <n v="86.699996948242188"/>
        <n v="1940.6800537109375"/>
        <n v="1637.1199951171875"/>
        <n v="4738.580078125"/>
        <n v="10994.0302734375"/>
        <n v="720.84002685546875"/>
        <n v="2143.780029296875"/>
        <n v="972.32000732421875"/>
        <n v="45.770000457763672"/>
        <n v="1824.8599853515625"/>
        <n v="725.8599853515625"/>
        <n v="3291.659912109375"/>
        <n v="183.69999694824219"/>
        <n v="821.030029296875"/>
        <n v="1155.6400146484375"/>
        <n v="1469.4200439453125"/>
        <n v="451.66000366210938"/>
        <n v="2782.860107421875"/>
        <n v="1449.5400390625"/>
        <n v="2224.3798828125"/>
        <n v="4267.06982421875"/>
        <n v="87602.3828125"/>
        <n v="3205.7099609375"/>
        <n v="20311.5"/>
        <n v="22105.849609375"/>
        <n v="130.05999755859375"/>
        <n v="3983.330078125"/>
        <n v="2963.179931640625"/>
        <n v="995.41998291015625"/>
        <n v="378.20999145507813"/>
        <n v="235.25"/>
        <n v="15.069999694824219"/>
        <n v="6577.080078125"/>
        <n v="7381.2998046875"/>
        <n v="4575.93017578125"/>
        <n v="448.739990234375"/>
        <n v="2446.989990234375"/>
        <n v="11.859999656677246"/>
        <n v="621.04998779296875"/>
        <n v="5.2899999618530273"/>
        <n v="68.730003356933594"/>
        <n v="8.8900003433227539"/>
        <n v="2625.4599609375"/>
        <n v="430.260009765625"/>
        <n v="124.05999755859375"/>
        <n v="165.28999328613281"/>
        <n v="6780.81005859375"/>
        <n v="473.20999145507813"/>
        <n v="1760.989990234375"/>
        <n v="1639.25"/>
        <n v="574.8800048828125"/>
        <n v="1875.56005859375"/>
        <n v="360.1199951171875"/>
        <n v="479.48001098632813"/>
        <n v="471.97000122070313"/>
        <n v="6740.58984375"/>
        <n v="7804.43994140625"/>
        <n v="5586.2001953125"/>
        <n v="2490.06005859375"/>
        <n v="96.25"/>
        <n v="4.5199999809265137"/>
        <n v="587.65997314453125"/>
        <n v="2073"/>
        <n v="3048.780029296875"/>
        <n v="1104.75"/>
        <n v="32853.1015625"/>
        <n v="11859.3603515625"/>
        <n v="9939.099609375"/>
        <n v="2314.419921875"/>
        <n v="165.1300048828125"/>
        <n v="7651.25"/>
        <n v="780.489990234375"/>
        <n v="727.3599853515625"/>
        <n v="16.600000381469727"/>
        <n v="101.37999725341797"/>
        <n v="1055.5699462890625"/>
        <n v="881.8800048828125"/>
        <n v="30057.0703125"/>
        <n v="34412.51953125"/>
        <n v="315.16000366210938"/>
        <n v="20889.30078125"/>
        <n v="3243.260009765625"/>
        <n v="4059.52001953125"/>
        <n v="4990.43017578125"/>
        <n v="92"/>
        <n v="45.349998474121094"/>
        <n v="342.6300048828125"/>
        <n v="2416.81005859375"/>
        <n v="523.239990234375"/>
        <n v="723.41998291015625"/>
        <n v="337.14999389648438"/>
        <n v="24.829999923706055"/>
        <n v="93.919998168945313"/>
      </sharedItems>
    </cacheField>
    <cacheField name="percent_total_exports_23_24" numFmtId="0">
      <sharedItems containsSemiMixedTypes="0" containsString="0" containsNumber="1" minValue="1E-3" maxValue="20.042999999999999" count="97">
        <n v="2.8E-3"/>
        <n v="0.87690000000000001"/>
        <n v="1.4012"/>
        <n v="0.1429"/>
        <n v="6.1499999999999999E-2"/>
        <n v="1.9800000000000002E-2"/>
        <n v="0.44400000000000001"/>
        <n v="0.37459999999999999"/>
        <n v="1.0842000000000001"/>
        <n v="2.5154000000000001"/>
        <n v="0.16489999999999999"/>
        <n v="0.49049999999999999"/>
        <n v="0.2225"/>
        <n v="1.0500000000000001E-2"/>
        <n v="0.41749999999999998"/>
        <n v="0.1661"/>
        <n v="0.75309999999999999"/>
        <n v="4.2000000000000003E-2"/>
        <n v="0.18779999999999999"/>
        <n v="0.26440000000000002"/>
        <n v="0.3362"/>
        <n v="0.1033"/>
        <n v="0.63670000000000004"/>
        <n v="0.33160000000000001"/>
        <n v="0.50890000000000002"/>
        <n v="0.97629999999999995"/>
        <n v="20.042999999999999"/>
        <n v="0.73350000000000004"/>
        <n v="4.6471999999999998"/>
        <n v="5.0576999999999996"/>
        <n v="2.98E-2"/>
        <n v="0.91139999999999999"/>
        <n v="0.67800000000000005"/>
        <n v="0.22770000000000001"/>
        <n v="8.6499999999999994E-2"/>
        <n v="5.3800000000000001E-2"/>
        <n v="3.3999999999999998E-3"/>
        <n v="1.5047999999999999"/>
        <n v="1.6888000000000001"/>
        <n v="1.0469999999999999"/>
        <n v="0.1027"/>
        <n v="0.55989999999999995"/>
        <n v="2.7000000000000001E-3"/>
        <n v="0.1421"/>
        <n v="1.1999999999999999E-3"/>
        <n v="1.5699999999999999E-2"/>
        <n v="2E-3"/>
        <n v="0.60070000000000001"/>
        <n v="9.8400000000000001E-2"/>
        <n v="2.8400000000000002E-2"/>
        <n v="3.78E-2"/>
        <n v="1.5513999999999999"/>
        <n v="0.10829999999999999"/>
        <n v="0.40289999999999998"/>
        <n v="0.37509999999999999"/>
        <n v="0.13150000000000001"/>
        <n v="0.42909999999999998"/>
        <n v="8.2400000000000001E-2"/>
        <n v="0.10970000000000001"/>
        <n v="0.108"/>
        <n v="1.5422"/>
        <n v="1.7856000000000001"/>
        <n v="1.2781"/>
        <n v="0.56969999999999998"/>
        <n v="2.1999999999999999E-2"/>
        <n v="1E-3"/>
        <n v="0.13450000000000001"/>
        <n v="0.4743"/>
        <n v="0.69750000000000001"/>
        <n v="0.25280000000000002"/>
        <n v="7.5166000000000004"/>
        <n v="2.7134"/>
        <n v="2.274"/>
        <n v="0.52949999999999997"/>
        <n v="1.7505999999999999"/>
        <n v="0.17860000000000001"/>
        <n v="0.16639999999999999"/>
        <n v="3.8E-3"/>
        <n v="2.3199999999999998E-2"/>
        <n v="0.24149999999999999"/>
        <n v="0.20180000000000001"/>
        <n v="6.8769"/>
        <n v="7.8734000000000002"/>
        <n v="7.2099999999999997E-2"/>
        <n v="4.7793999999999999"/>
        <n v="0.74199999999999999"/>
        <n v="0.92879999999999996"/>
        <n v="1.1417999999999999"/>
        <n v="2.1000000000000001E-2"/>
        <n v="1.04E-2"/>
        <n v="7.8399999999999997E-2"/>
        <n v="0.55300000000000005"/>
        <n v="0.1197"/>
        <n v="0.16550000000000001"/>
        <n v="7.7100000000000002E-2"/>
        <n v="5.7000000000000002E-3"/>
        <n v="2.1499999999999998E-2"/>
      </sharedItems>
    </cacheField>
    <cacheField name="Imports_23_24" numFmtId="0">
      <sharedItems containsSemiMixedTypes="0" containsString="0" containsNumber="1" minValue="6.2399997711181641" maxValue="219053.65625" count="98">
        <n v="19.110000610351563"/>
        <n v="6.630000114440918"/>
        <n v="180.47000122070313"/>
        <n v="60.490001678466797"/>
        <n v="43.380001068115234"/>
        <n v="34.950000762939453"/>
        <n v="3832.139892578125"/>
        <n v="4191.6201171875"/>
        <n v="1135.47998046875"/>
        <n v="133.13999938964844"/>
        <n v="91.519996643066406"/>
        <n v="1259.8299560546875"/>
        <n v="365.48001098632813"/>
        <n v="109.30999755859375"/>
        <n v="15059.4697265625"/>
        <n v="9.3900003433227539"/>
        <n v="2149.580078125"/>
        <n v="512.719970703125"/>
        <n v="156.58999633789063"/>
        <n v="141.41000366210938"/>
        <n v="187.8699951171875"/>
        <n v="1541.8499755859375"/>
        <n v="645.04998779296875"/>
        <n v="103.79000091552734"/>
        <n v="4255.47021484375"/>
        <n v="5987.740234375"/>
        <n v="219053.65625"/>
        <n v="9142.419921875"/>
        <n v="26745.08984375"/>
        <n v="2584.669921875"/>
        <n v="8923.73046875"/>
        <n v="3638.659912109375"/>
        <n v="2099.4599609375"/>
        <n v="1193.3499755859375"/>
        <n v="853.44000244140625"/>
        <n v="20.540000915527344"/>
        <n v="215.69000244140625"/>
        <n v="7429.97021484375"/>
        <n v="21830.599609375"/>
        <n v="3914.050048828125"/>
        <n v="400.989990234375"/>
        <n v="508.5"/>
        <n v="6.2399997711181641"/>
        <n v="2276.389892578125"/>
        <n v="11.649999618530273"/>
        <n v="8.9099998474121094"/>
        <n v="3137.2900390625"/>
        <n v="3018.22998046875"/>
        <n v="301.3800048828125"/>
        <n v="208.53999328613281"/>
        <n v="307.510009765625"/>
        <n v="791.010009765625"/>
        <n v="625.16998291015625"/>
        <n v="1656.199951171875"/>
        <n v="900.96002197265625"/>
        <n v="418.77999877929688"/>
        <n v="157.39999389648438"/>
        <n v="199.55999755859375"/>
        <n v="772.280029296875"/>
        <n v="728.08001708984375"/>
        <n v="637.75"/>
        <n v="850.8900146484375"/>
        <n v="641.3800048828125"/>
        <n v="723.82000732421875"/>
        <n v="44.650001525878906"/>
        <n v="49.909999847412109"/>
        <n v="45.959999084472656"/>
        <n v="1010.8900146484375"/>
        <n v="966.8599853515625"/>
        <n v="1783.6600341796875"/>
        <n v="78473.546875"/>
        <n v="18645.6796875"/>
        <n v="5112.64990234375"/>
        <n v="9234.759765625"/>
        <n v="1341.31005859375"/>
        <n v="6864.14013671875"/>
        <n v="1093.3800048828125"/>
        <n v="779.79998779296875"/>
        <n v="338.8800048828125"/>
        <n v="665.47998046875"/>
        <n v="1360.6700439453125"/>
        <n v="1206.0699462890625"/>
        <n v="57408.94140625"/>
        <n v="79300.6875"/>
        <n v="776.69000244140625"/>
        <n v="7609.7900390625"/>
        <n v="12697.5400390625"/>
        <n v="3747.1201171875"/>
        <n v="12922.25"/>
        <n v="579.530029296875"/>
        <n v="67.94000244140625"/>
        <n v="144.46000671386719"/>
        <n v="1591.219970703125"/>
        <n v="517.5999755859375"/>
        <n v="739.95001220703125"/>
        <n v="466.08999633789063"/>
        <n v="1467.72998046875"/>
        <n v="10.229999542236328"/>
      </sharedItems>
    </cacheField>
    <cacheField name="percent_total_imports_23_24" numFmtId="0">
      <sharedItems containsSemiMixedTypes="0" containsString="0" containsNumber="1" minValue="8.9999999999999998E-4" maxValue="32.2986" count="98">
        <n v="2.8E-3"/>
        <n v="1E-3"/>
        <n v="2.6599999999999999E-2"/>
        <n v="8.8999999999999999E-3"/>
        <n v="6.4000000000000003E-3"/>
        <n v="5.1999999999999998E-3"/>
        <n v="0.56499999999999995"/>
        <n v="0.61799999999999999"/>
        <n v="0.16739999999999999"/>
        <n v="1.9599999999999999E-2"/>
        <n v="1.35E-2"/>
        <n v="0.18579999999999999"/>
        <n v="5.3900000000000003E-2"/>
        <n v="1.61E-2"/>
        <n v="2.2204999999999999"/>
        <n v="1.4E-3"/>
        <n v="0.31690000000000002"/>
        <n v="7.5600000000000001E-2"/>
        <n v="2.3099999999999999E-2"/>
        <n v="2.0899999999999998E-2"/>
        <n v="2.7699999999999999E-2"/>
        <n v="0.2273"/>
        <n v="9.5100000000000004E-2"/>
        <n v="1.5299999999999999E-2"/>
        <n v="0.62749999999999995"/>
        <n v="0.88290000000000002"/>
        <n v="32.2986"/>
        <n v="1.3480000000000001"/>
        <n v="3.9434999999999998"/>
        <n v="0.38109999999999999"/>
        <n v="1.3158000000000001"/>
        <n v="0.53649999999999998"/>
        <n v="0.30959999999999999"/>
        <n v="0.17599999999999999"/>
        <n v="0.1258"/>
        <n v="3.0000000000000001E-3"/>
        <n v="3.1800000000000002E-2"/>
        <n v="1.0954999999999999"/>
        <n v="3.2187999999999999"/>
        <n v="0.57709999999999995"/>
        <n v="5.91E-2"/>
        <n v="7.4999999999999997E-2"/>
        <n v="8.9999999999999998E-4"/>
        <n v="0.33560000000000001"/>
        <n v="1.6999999999999999E-3"/>
        <n v="1.2999999999999999E-3"/>
        <n v="0.46260000000000001"/>
        <n v="0.44500000000000001"/>
        <n v="4.4400000000000002E-2"/>
        <n v="3.0700000000000002E-2"/>
        <n v="4.53E-2"/>
        <n v="0.1166"/>
        <n v="9.2200000000000004E-2"/>
        <n v="0.2442"/>
        <n v="0.1328"/>
        <n v="6.1699999999999998E-2"/>
        <n v="2.3199999999999998E-2"/>
        <n v="2.9399999999999999E-2"/>
        <n v="0.1139"/>
        <n v="0.1074"/>
        <n v="9.4E-2"/>
        <n v="0.1255"/>
        <n v="9.4600000000000004E-2"/>
        <n v="0.1067"/>
        <n v="6.6E-3"/>
        <n v="7.4000000000000003E-3"/>
        <n v="6.7999999999999996E-3"/>
        <n v="0.14910000000000001"/>
        <n v="0.1426"/>
        <n v="0.26300000000000001"/>
        <n v="11.570600000000001"/>
        <n v="2.7492000000000001"/>
        <n v="0.75380000000000003"/>
        <n v="1.3615999999999999"/>
        <n v="0.1978"/>
        <n v="1.0121"/>
        <n v="0.16120000000000001"/>
        <n v="0.115"/>
        <n v="0.05"/>
        <n v="9.8100000000000007E-2"/>
        <n v="0.2006"/>
        <n v="0.17780000000000001"/>
        <n v="8.4647000000000006"/>
        <n v="11.692600000000001"/>
        <n v="0.1145"/>
        <n v="1.1220000000000001"/>
        <n v="1.8722000000000001"/>
        <n v="0.55249999999999999"/>
        <n v="1.9053"/>
        <n v="8.5400000000000004E-2"/>
        <n v="0.01"/>
        <n v="2.1299999999999999E-2"/>
        <n v="0.2346"/>
        <n v="7.6300000000000007E-2"/>
        <n v="0.1091"/>
        <n v="6.8699999999999997E-2"/>
        <n v="0.21640000000000001"/>
        <n v="1.5E-3"/>
      </sharedItems>
    </cacheField>
    <cacheField name="Net_bal_23_24" numFmtId="0">
      <sharedItems containsSemiMixedTypes="0" containsString="0" containsNumber="1" minValue="-131451.26999999999" maxValue="19521.18" count="98">
        <n v="-6.74"/>
        <n v="3825.97"/>
        <n v="5943.74"/>
        <n v="564.28"/>
        <n v="225.57"/>
        <n v="51.75"/>
        <n v="-1891.46"/>
        <n v="-2554.5"/>
        <n v="3603.1"/>
        <n v="10860.89"/>
        <n v="629.32000000000005"/>
        <n v="883.95"/>
        <n v="606.84"/>
        <n v="-63.54"/>
        <n v="-13234.61"/>
        <n v="716.47"/>
        <n v="1142.08"/>
        <n v="-329.02"/>
        <n v="664.44"/>
        <n v="1014.23"/>
        <n v="1281.55"/>
        <n v="-1090.19"/>
        <n v="2137.81"/>
        <n v="1345.75"/>
        <n v="-2031.09"/>
        <n v="-1720.67"/>
        <n v="-131451.26999999999"/>
        <n v="-5936.71"/>
        <n v="-6433.59"/>
        <n v="19521.18"/>
        <n v="-8793.67"/>
        <n v="344.67"/>
        <n v="863.72"/>
        <n v="-197.93"/>
        <n v="-475.23"/>
        <n v="214.71"/>
        <n v="-200.62"/>
        <n v="-852.89"/>
        <n v="-14449.3"/>
        <n v="661.88"/>
        <n v="47.75"/>
        <n v="1938.49"/>
        <n v="5.62"/>
        <n v="-1655.34"/>
        <n v="-6.36"/>
        <n v="59.82"/>
        <n v="-3128.4"/>
        <n v="-392.77"/>
        <n v="128.88"/>
        <n v="-84.48"/>
        <n v="-142.22"/>
        <n v="5989.8"/>
        <n v="-151.96"/>
        <n v="104.79"/>
        <n v="738.29"/>
        <n v="156.1"/>
        <n v="1718.16"/>
        <n v="160.56"/>
        <n v="-292.8"/>
        <n v="-256.11"/>
        <n v="6102.84"/>
        <n v="6953.55"/>
        <n v="4944.82"/>
        <n v="1766.24"/>
        <n v="51.6"/>
        <n v="-45.39"/>
        <n v="541.70000000000005"/>
        <n v="1062.1099999999999"/>
        <n v="2081.92"/>
        <n v="-678.91"/>
        <n v="-45620.45"/>
        <n v="-6786.32"/>
        <n v="4826.45"/>
        <n v="-6920.34"/>
        <n v="-1176.18"/>
        <n v="787.11"/>
        <n v="-312.89"/>
        <n v="-52.44"/>
        <n v="-322.27999999999997"/>
        <n v="-564.1"/>
        <n v="-305.10000000000002"/>
        <n v="-324.19"/>
        <n v="-27351.87"/>
        <n v="-44888.17"/>
        <n v="-461.53"/>
        <n v="13279.51"/>
        <n v="-9454.2800000000007"/>
        <n v="312.39999999999998"/>
        <n v="-7931.82"/>
        <n v="-487.53"/>
        <n v="-22.59"/>
        <n v="198.17"/>
        <n v="825.59"/>
        <n v="5.64"/>
        <n v="-16.53"/>
        <n v="-128.94"/>
        <n v="-1442.9"/>
        <n v="83.69"/>
      </sharedItems>
    </cacheField>
    <cacheField name="Exports_24_25" numFmtId="0">
      <sharedItems containsSemiMixedTypes="0" containsString="0" containsNumber="1" minValue="0.31000000238418579" maxValue="67045.9765625" count="98">
        <n v="19.700000762939453"/>
        <n v="4159"/>
        <n v="6296.52978515625"/>
        <n v="853.989990234375"/>
        <n v="289.79000854492188"/>
        <n v="88.580001831054688"/>
        <n v="2192.81005859375"/>
        <n v="1695.0899658203125"/>
        <n v="5364.759765625"/>
        <n v="12752.3896484375"/>
        <n v="727.530029296875"/>
        <n v="2127.85009765625"/>
        <n v="1127.6500244140625"/>
        <n v="46.950000762939453"/>
        <n v="2040.77001953125"/>
        <n v="789.989990234375"/>
        <n v="2501.43994140625"/>
        <n v="295.54998779296875"/>
        <n v="913.17999267578125"/>
        <n v="1223.1700439453125"/>
        <n v="1713.9300537109375"/>
        <n v="452.58999633789063"/>
        <n v="2215"/>
        <n v="1979"/>
        <n v="2038.5699462890625"/>
        <n v="2350.830078125"/>
        <n v="67045.9765625"/>
        <n v="4059.739990234375"/>
        <n v="20120.689453125"/>
        <n v="24577.810546875"/>
        <n v="162.11000061035156"/>
        <n v="3561.360107421875"/>
        <n v="2703.5400390625"/>
        <n v="1077.300048828125"/>
        <n v="397"/>
        <n v="383.07000732421875"/>
        <n v="19.909999847412109"/>
        <n v="6972.75"/>
        <n v="8158.2099609375"/>
        <n v="4862.41015625"/>
        <n v="446.67999267578125"/>
        <n v="2622.469970703125"/>
        <n v="7.2300000190734863"/>
        <n v="590.22998046875"/>
        <n v="4.940000057220459"/>
        <n v="71.30999755859375"/>
        <n v="6.2800002098083496"/>
        <n v="2626.469970703125"/>
        <n v="434.8599853515625"/>
        <n v="162.72000122070313"/>
        <n v="135.1199951171875"/>
        <n v="6333.990234375"/>
        <n v="610.1199951171875"/>
        <n v="1769.75"/>
        <n v="1613.3199462890625"/>
        <n v="666.25"/>
        <n v="2097.719970703125"/>
        <n v="367.47000122070313"/>
        <n v="503.45999145507813"/>
        <n v="590.92999267578125"/>
        <n v="7703.89990234375"/>
        <n v="8303.150390625"/>
        <n v="6103.14013671875"/>
        <n v="2504.85009765625"/>
        <n v="91.800003051757813"/>
        <n v="5.2899999618530273"/>
        <n v="600.239990234375"/>
        <n v="2213.2099609375"/>
        <n v="2723.340087890625"/>
        <n v="1143.43994140625"/>
        <n v="29958.41015625"/>
        <n v="9251.0703125"/>
        <n v="10179.3896484375"/>
        <n v="2073.64990234375"/>
        <n v="188.6300048828125"/>
        <n v="6826.06005859375"/>
        <n v="945.65997314453125"/>
        <n v="740.489990234375"/>
        <n v="23.909999847412109"/>
        <n v="152.58000183105469"/>
        <n v="1181.199951171875"/>
        <n v="971.70001220703125"/>
        <n v="33475.25"/>
        <n v="44049.58984375"/>
        <n v="357.1099853515625"/>
        <n v="22648.380859375"/>
        <n v="6964.43017578125"/>
        <n v="4295.580078125"/>
        <n v="5285.240234375"/>
        <n v="72.389999389648438"/>
        <n v="46.240001678466797"/>
        <n v="567.21002197265625"/>
        <n v="2557.550048828125"/>
        <n v="570.95001220703125"/>
        <n v="733.1099853515625"/>
        <n v="159.57000732421875"/>
        <n v="16.690000534057617"/>
        <n v="0.31000000238418579"/>
      </sharedItems>
    </cacheField>
    <cacheField name="percent_total_exports_24_25" numFmtId="0">
      <sharedItems containsSemiMixedTypes="0" containsString="0" containsNumber="1" minValue="1E-4" maxValue="15.317600000000001" count="97">
        <n v="4.4999999999999997E-3"/>
        <n v="0.95020000000000004"/>
        <n v="1.4384999999999999"/>
        <n v="0.1951"/>
        <n v="6.6199999999999995E-2"/>
        <n v="2.0199999999999999E-2"/>
        <n v="0.501"/>
        <n v="0.38729999999999998"/>
        <n v="1.2257"/>
        <n v="2.9135"/>
        <n v="0.16619999999999999"/>
        <n v="0.48609999999999998"/>
        <n v="0.2576"/>
        <n v="1.0699999999999999E-2"/>
        <n v="0.4662"/>
        <n v="0.18049999999999999"/>
        <n v="0.57150000000000001"/>
        <n v="6.7500000000000004E-2"/>
        <n v="0.20860000000000001"/>
        <n v="0.27950000000000003"/>
        <n v="0.3916"/>
        <n v="0.10340000000000001"/>
        <n v="0.50600000000000001"/>
        <n v="0.4521"/>
        <n v="0.4657"/>
        <n v="0.53710000000000002"/>
        <n v="15.317600000000001"/>
        <n v="0.92749999999999999"/>
        <n v="4.5968999999999998"/>
        <n v="5.6151999999999997"/>
        <n v="3.6999999999999998E-2"/>
        <n v="0.81359999999999999"/>
        <n v="0.61770000000000003"/>
        <n v="0.24610000000000001"/>
        <n v="9.0700000000000003E-2"/>
        <n v="8.7499999999999994E-2"/>
        <n v="1.593"/>
        <n v="1.8638999999999999"/>
        <n v="1.1109"/>
        <n v="0.1021"/>
        <n v="0.59909999999999997"/>
        <n v="1.6999999999999999E-3"/>
        <n v="0.1348"/>
        <n v="1.1000000000000001E-3"/>
        <n v="1.6299999999999999E-2"/>
        <n v="1.4E-3"/>
        <n v="0.60009999999999997"/>
        <n v="9.9400000000000002E-2"/>
        <n v="3.7199999999999997E-2"/>
        <n v="3.09E-2"/>
        <n v="1.4471000000000001"/>
        <n v="0.1394"/>
        <n v="0.40429999999999999"/>
        <n v="0.36859999999999998"/>
        <n v="0.1522"/>
        <n v="0.4793"/>
        <n v="8.4000000000000005E-2"/>
        <n v="0.115"/>
        <n v="0.13500000000000001"/>
        <n v="1.7601"/>
        <n v="1.897"/>
        <n v="1.3944000000000001"/>
        <n v="0.57230000000000003"/>
        <n v="2.1000000000000001E-2"/>
        <n v="1.1999999999999999E-3"/>
        <n v="0.1371"/>
        <n v="0.50560000000000005"/>
        <n v="0.62219999999999998"/>
        <n v="0.26119999999999999"/>
        <n v="6.8444000000000003"/>
        <n v="2.1135000000000002"/>
        <n v="2.3256000000000001"/>
        <n v="0.4738"/>
        <n v="4.3099999999999999E-2"/>
        <n v="1.5595000000000001"/>
        <n v="0.216"/>
        <n v="0.16919999999999999"/>
        <n v="5.4999999999999997E-3"/>
        <n v="3.49E-2"/>
        <n v="0.26989999999999997"/>
        <n v="0.222"/>
        <n v="7.6478999999999999"/>
        <n v="10.063800000000001"/>
        <n v="8.1600000000000006E-2"/>
        <n v="5.1744000000000003"/>
        <n v="1.5911"/>
        <n v="0.98140000000000005"/>
        <n v="1.2075"/>
        <n v="1.6500000000000001E-2"/>
        <n v="1.06E-2"/>
        <n v="0.12959999999999999"/>
        <n v="0.58430000000000004"/>
        <n v="0.13039999999999999"/>
        <n v="0.16750000000000001"/>
        <n v="3.6499999999999998E-2"/>
        <n v="3.8E-3"/>
        <n v="1E-4"/>
      </sharedItems>
    </cacheField>
    <cacheField name="Imports_24_25" numFmtId="0">
      <sharedItems containsSemiMixedTypes="0" containsString="0" containsNumber="1" minValue="6.4800000190734863" maxValue="218456.015625" count="98">
        <n v="26.239999771118164"/>
        <n v="7.6399998664855957"/>
        <n v="234.08999633789063"/>
        <n v="45.680000305175781"/>
        <n v="44.509998321533203"/>
        <n v="66.489997863769531"/>
        <n v="5589.3798828125"/>
        <n v="4741.8701171875"/>
        <n v="1338.489990234375"/>
        <n v="395.989990234375"/>
        <n v="109.08999633789063"/>
        <n v="911.09002685546875"/>
        <n v="394.82998657226563"/>
        <n v="127.33999633789063"/>
        <n v="17591.640625"/>
        <n v="8.1599998474121094"/>
        <n v="1547.050048828125"/>
        <n v="994.15997314453125"/>
        <n v="180.42999267578125"/>
        <n v="177.91000366210938"/>
        <n v="233.28999328613281"/>
        <n v="1373.2099609375"/>
        <n v="699.53997802734375"/>
        <n v="117.11000061035156"/>
        <n v="4974.419921875"/>
        <n v="7232.22021484375"/>
        <n v="218456.015625"/>
        <n v="11377.080078125"/>
        <n v="26590.5390625"/>
        <n v="2980.9599609375"/>
        <n v="8285.099609375"/>
        <n v="2873.610107421875"/>
        <n v="1410.760009765625"/>
        <n v="1475.1700439453125"/>
        <n v="973.58001708984375"/>
        <n v="23.579999923706055"/>
        <n v="234.38999938964844"/>
        <n v="8013.56005859375"/>
        <n v="22116.05078125"/>
        <n v="4633.14013671875"/>
        <n v="425.92001342773438"/>
        <n v="506.64999389648438"/>
        <n v="6.4800000190734863"/>
        <n v="2630.159912109375"/>
        <n v="12.399999618530273"/>
        <n v="9.4799995422363281"/>
        <n v="3247.449951171875"/>
        <n v="3271.469970703125"/>
        <n v="230.14999389648438"/>
        <n v="176.96000671386719"/>
        <n v="292.25"/>
        <n v="1418.550048828125"/>
        <n v="672.72998046875"/>
        <n v="1514.4599609375"/>
        <n v="840.1400146484375"/>
        <n v="474.55999755859375"/>
        <n v="174.33000183105469"/>
        <n v="227.66999816894531"/>
        <n v="808.55999755859375"/>
        <n v="894.1099853515625"/>
        <n v="730.5999755859375"/>
        <n v="911.96002197265625"/>
        <n v="635.55999755859375"/>
        <n v="679.22998046875"/>
        <n v="42.669998168945313"/>
        <n v="52.209999084472656"/>
        <n v="34.580001831054688"/>
        <n v="1070.8199462890625"/>
        <n v="964.27001953125"/>
        <n v="2198.489990234375"/>
        <n v="88975.65625"/>
        <n v="17400.279296875"/>
        <n v="5259.240234375"/>
        <n v="10759.8095703125"/>
        <n v="1236.530029296875"/>
        <n v="8272.990234375"/>
        <n v="1279.6300048828125"/>
        <n v="822.0999755859375"/>
        <n v="494.64999389648438"/>
        <n v="679.1099853515625"/>
        <n v="1491.02001953125"/>
        <n v="1258.6400146484375"/>
        <n v="64302.12109375"/>
        <n v="88596.421875"/>
        <n v="748.25"/>
        <n v="8259.1796875"/>
        <n v="13911.58984375"/>
        <n v="4626.990234375"/>
        <n v="13842.1396484375"/>
        <n v="654.58001708984375"/>
        <n v="76.019996643066406"/>
        <n v="118.55999755859375"/>
        <n v="1718.5999755859375"/>
        <n v="544.92999267578125"/>
        <n v="671.65997314453125"/>
        <n v="269.6400146484375"/>
        <n v="1163.1199951171875"/>
        <n v="6.5100002288818359"/>
      </sharedItems>
    </cacheField>
    <cacheField name="percent_total_imports_24_25" numFmtId="0">
      <sharedItems containsSemiMixedTypes="0" containsString="0" containsNumber="1" minValue="8.9999999999999998E-4" maxValue="30.290600000000001" count="94">
        <n v="3.5999999999999999E-3"/>
        <n v="1.1000000000000001E-3"/>
        <n v="3.2500000000000001E-2"/>
        <n v="6.3E-3"/>
        <n v="6.1999999999999998E-3"/>
        <n v="9.1999999999999998E-3"/>
        <n v="0.77500000000000002"/>
        <n v="0.65749999999999997"/>
        <n v="0.18559999999999999"/>
        <n v="5.4899999999999997E-2"/>
        <n v="1.5100000000000001E-2"/>
        <n v="0.1263"/>
        <n v="5.4699999999999999E-2"/>
        <n v="1.77E-2"/>
        <n v="2.4392"/>
        <n v="0.2145"/>
        <n v="0.13780000000000001"/>
        <n v="2.5000000000000001E-2"/>
        <n v="2.47E-2"/>
        <n v="3.2300000000000002E-2"/>
        <n v="0.19040000000000001"/>
        <n v="9.7000000000000003E-2"/>
        <n v="1.6199999999999999E-2"/>
        <n v="0.68969999999999998"/>
        <n v="1.0027999999999999"/>
        <n v="30.290600000000001"/>
        <n v="1.5774999999999999"/>
        <n v="3.6869999999999998"/>
        <n v="0.4133"/>
        <n v="1.1488"/>
        <n v="0.39839999999999998"/>
        <n v="0.1956"/>
        <n v="0.20449999999999999"/>
        <n v="0.13500000000000001"/>
        <n v="3.3E-3"/>
        <n v="1.1111"/>
        <n v="3.0666000000000002"/>
        <n v="0.64239999999999997"/>
        <n v="5.91E-2"/>
        <n v="7.0300000000000001E-2"/>
        <n v="8.9999999999999998E-4"/>
        <n v="0.36470000000000002"/>
        <n v="1.6999999999999999E-3"/>
        <n v="1.2999999999999999E-3"/>
        <n v="0.45029999999999998"/>
        <n v="0.4536"/>
        <n v="3.1899999999999998E-2"/>
        <n v="2.4500000000000001E-2"/>
        <n v="4.0500000000000001E-2"/>
        <n v="0.19670000000000001"/>
        <n v="9.3299999999999994E-2"/>
        <n v="0.21"/>
        <n v="0.11650000000000001"/>
        <n v="6.5799999999999997E-2"/>
        <n v="2.4199999999999999E-2"/>
        <n v="3.1600000000000003E-2"/>
        <n v="0.11210000000000001"/>
        <n v="0.124"/>
        <n v="0.1013"/>
        <n v="0.1265"/>
        <n v="8.8099999999999998E-2"/>
        <n v="9.4200000000000006E-2"/>
        <n v="5.8999999999999999E-3"/>
        <n v="7.1999999999999998E-3"/>
        <n v="4.7999999999999996E-3"/>
        <n v="0.14849999999999999"/>
        <n v="0.13370000000000001"/>
        <n v="0.30480000000000002"/>
        <n v="12.337199999999999"/>
        <n v="2.4127000000000001"/>
        <n v="0.72919999999999996"/>
        <n v="1.4919"/>
        <n v="0.17150000000000001"/>
        <n v="1.1471"/>
        <n v="0.1774"/>
        <n v="0.114"/>
        <n v="6.8599999999999994E-2"/>
        <n v="0.20669999999999999"/>
        <n v="0.17449999999999999"/>
        <n v="8.9160000000000004"/>
        <n v="12.284599999999999"/>
        <n v="0.1038"/>
        <n v="1.1452"/>
        <n v="1.9289000000000001"/>
        <n v="0.64159999999999995"/>
        <n v="1.9193"/>
        <n v="9.0800000000000006E-2"/>
        <n v="1.0500000000000001E-2"/>
        <n v="1.6400000000000001E-2"/>
        <n v="0.23830000000000001"/>
        <n v="7.5600000000000001E-2"/>
        <n v="9.3100000000000002E-2"/>
        <n v="3.7400000000000003E-2"/>
        <n v="0.1613"/>
      </sharedItems>
    </cacheField>
    <cacheField name="Net_bal_24_25" numFmtId="0">
      <sharedItems containsSemiMixedTypes="0" containsString="0" containsNumber="1" minValue="-151410.04" maxValue="21596.85" count="98">
        <n v="-6.54"/>
        <n v="4151.3599999999997"/>
        <n v="6062.44"/>
        <n v="808.31"/>
        <n v="245.28"/>
        <n v="22.09"/>
        <n v="-3396.57"/>
        <n v="-3046.78"/>
        <n v="4026.27"/>
        <n v="12356.4"/>
        <n v="618.44000000000005"/>
        <n v="1216.76"/>
        <n v="732.82"/>
        <n v="-80.39"/>
        <n v="-15550.87"/>
        <n v="781.83"/>
        <n v="954.39"/>
        <n v="-698.61"/>
        <n v="732.75"/>
        <n v="1045.26"/>
        <n v="1480.64"/>
        <n v="-920.62"/>
        <n v="1515.46"/>
        <n v="1861.89"/>
        <n v="-2935.85"/>
        <n v="-4881.3900000000003"/>
        <n v="-151410.04"/>
        <n v="-7317.34"/>
        <n v="-6469.85"/>
        <n v="21596.85"/>
        <n v="-8122.99"/>
        <n v="687.75"/>
        <n v="1292.78"/>
        <n v="-397.87"/>
        <n v="-576.58000000000004"/>
        <n v="359.49"/>
        <n v="-214.48"/>
        <n v="-1040.81"/>
        <n v="-13957.84"/>
        <n v="229.27"/>
        <n v="20.76"/>
        <n v="2115.8200000000002"/>
        <n v="0.75"/>
        <n v="-2039.93"/>
        <n v="-7.46"/>
        <n v="61.83"/>
        <n v="-3241.17"/>
        <n v="-645"/>
        <n v="204.71"/>
        <n v="-14.24"/>
        <n v="-157.13"/>
        <n v="4915.4399999999996"/>
        <n v="-62.61"/>
        <n v="255.29"/>
        <n v="773.18"/>
        <n v="191.69"/>
        <n v="1923.39"/>
        <n v="139.80000000000001"/>
        <n v="-305.10000000000002"/>
        <n v="-303.18"/>
        <n v="6973.3"/>
        <n v="7391.19"/>
        <n v="5467.58"/>
        <n v="1825.62"/>
        <n v="49.13"/>
        <n v="-46.92"/>
        <n v="565.66"/>
        <n v="1142.3900000000001"/>
        <n v="1759.07"/>
        <n v="-1055.05"/>
        <n v="-59017.25"/>
        <n v="-8149.21"/>
        <n v="4920.1499999999996"/>
        <n v="-8686.16"/>
        <n v="-1047.9000000000001"/>
        <n v="-1446.93"/>
        <n v="-333.97"/>
        <n v="-81.61"/>
        <n v="-470.74"/>
        <n v="-526.53"/>
        <n v="-309.82"/>
        <n v="-286.94"/>
        <n v="-30826.87"/>
        <n v="-44546.83"/>
        <n v="-391.14"/>
        <n v="14389.2"/>
        <n v="-6947.16"/>
        <n v="-331.41"/>
        <n v="-8556.9"/>
        <n v="-582.19000000000005"/>
        <n v="-29.78"/>
        <n v="448.65"/>
        <n v="838.95"/>
        <n v="26.02"/>
        <n v="61.45"/>
        <n v="-110.07"/>
        <n v="-1146.43"/>
        <n v="-6.2"/>
      </sharedItems>
    </cacheField>
    <cacheField name="Exports_25_26" numFmtId="0">
      <sharedItems containsSemiMixedTypes="0" containsString="0" containsNumber="1" minValue="0.2800000011920929" maxValue="55871.33984375" count="98">
        <n v="25.370000839233398"/>
        <n v="5215.41015625"/>
        <n v="7016.18017578125"/>
        <n v="918.80999755859375"/>
        <n v="373.6400146484375"/>
        <n v="92.550003051757813"/>
        <n v="2258.39990234375"/>
        <n v="1890.989990234375"/>
        <n v="5424.35009765625"/>
        <n v="12007.48046875"/>
        <n v="626.32000732421875"/>
        <n v="1956.5"/>
        <n v="1210.699951171875"/>
        <n v="44.380001068115234"/>
        <n v="2227.8798828125"/>
        <n v="808.79998779296875"/>
        <n v="2464.8798828125"/>
        <n v="317.92999267578125"/>
        <n v="988.030029296875"/>
        <n v="1244.969970703125"/>
        <n v="1960.52001953125"/>
        <n v="453.35000610351563"/>
        <n v="2240.8701171875"/>
        <n v="1948.97998046875"/>
        <n v="2281.679931640625"/>
        <n v="2139.22998046875"/>
        <n v="55871.33984375"/>
        <n v="4495.52001953125"/>
        <n v="20408.75"/>
        <n v="25073.390625"/>
        <n v="156.35000610351563"/>
        <n v="3171.6298828125"/>
        <n v="2656.389892578125"/>
        <n v="1063.3399658203125"/>
        <n v="436.26998901367188"/>
        <n v="559.84002685546875"/>
        <n v="23.700000762939453"/>
        <n v="7113.3798828125"/>
        <n v="7597.39013671875"/>
        <n v="5074.8701171875"/>
        <n v="399.07998657226563"/>
        <n v="2645.580078125"/>
        <n v="4.4600000381469727"/>
        <n v="593.58001708984375"/>
        <n v="6.6399998664855957"/>
        <n v="64.300003051757813"/>
        <n v="0.98000001907348633"/>
        <n v="2602.820068359375"/>
        <n v="463.42999267578125"/>
        <n v="257.1199951171875"/>
        <n v="151.77999877929688"/>
        <n v="5983.509765625"/>
        <n v="881.6099853515625"/>
        <n v="1620.77001953125"/>
        <n v="1575.3199462890625"/>
        <n v="608.3599853515625"/>
        <n v="1974.260009765625"/>
        <n v="389.989990234375"/>
        <n v="436.8900146484375"/>
        <n v="494.57000732421875"/>
        <n v="7642.06005859375"/>
        <n v="8172.5400390625"/>
        <n v="5995.2998046875"/>
        <n v="2462.2099609375"/>
        <n v="117.38999938964844"/>
        <n v="6.4899997711181641"/>
        <n v="665.53997802734375"/>
        <n v="2029.8199462890625"/>
        <n v="2703.669921875"/>
        <n v="1170.4100341796875"/>
        <n v="28343.83984375"/>
        <n v="10316.5703125"/>
        <n v="10409"/>
        <n v="3358.840087890625"/>
        <n v="184.99000549316406"/>
        <n v="7017.68017578125"/>
        <n v="1268.6800537109375"/>
        <n v="878.719970703125"/>
        <n v="51.970001220703125"/>
        <n v="297.29998779296875"/>
        <n v="1148.9000244140625"/>
        <n v="1026.2099609375"/>
        <n v="36629.609375"/>
        <n v="53976.30078125"/>
        <n v="504.1099853515625"/>
        <n v="25973.359375"/>
        <n v="1665.93994140625"/>
        <n v="4110.77001953125"/>
        <n v="5679.830078125"/>
        <n v="88.709999084472656"/>
        <n v="53.409999847412109"/>
        <n v="524.760009765625"/>
        <n v="2484.760009765625"/>
        <n v="602.719970703125"/>
        <n v="705.3499755859375"/>
        <n v="176.27000427246094"/>
        <n v="12.470000267028809"/>
        <n v="0.2800000011920929"/>
      </sharedItems>
    </cacheField>
    <cacheField name="percent_total_exports_25_26" numFmtId="0">
      <sharedItems containsSemiMixedTypes="0" containsString="0" containsNumber="1" minValue="1E-4" maxValue="12.6563" count="97">
        <n v="5.7000000000000002E-3"/>
        <n v="1.1814"/>
        <n v="1.5892999999999999"/>
        <n v="0.20810000000000001"/>
        <n v="8.4599999999999995E-2"/>
        <n v="2.1000000000000001E-2"/>
        <n v="0.51160000000000005"/>
        <n v="0.4284"/>
        <n v="1.2287999999999999"/>
        <n v="2.72"/>
        <n v="0.1419"/>
        <n v="0.44319999999999998"/>
        <n v="0.27429999999999999"/>
        <n v="1.01E-2"/>
        <n v="0.50470000000000004"/>
        <n v="0.1832"/>
        <n v="0.55840000000000001"/>
        <n v="7.1999999999999995E-2"/>
        <n v="0.2238"/>
        <n v="0.28199999999999997"/>
        <n v="0.44409999999999999"/>
        <n v="0.1027"/>
        <n v="0.50760000000000005"/>
        <n v="0.4415"/>
        <n v="0.51690000000000003"/>
        <n v="0.48459999999999998"/>
        <n v="12.6563"/>
        <n v="1.0183"/>
        <n v="4.6231"/>
        <n v="5.6798000000000002"/>
        <n v="3.5400000000000001E-2"/>
        <n v="0.71850000000000003"/>
        <n v="0.60170000000000001"/>
        <n v="0.2409"/>
        <n v="9.8799999999999999E-2"/>
        <n v="0.1268"/>
        <n v="5.4000000000000003E-3"/>
        <n v="1.6113999999999999"/>
        <n v="1.7210000000000001"/>
        <n v="1.1496"/>
        <n v="9.0399999999999994E-2"/>
        <n v="0.59930000000000005"/>
        <n v="1E-3"/>
        <n v="0.13450000000000001"/>
        <n v="1.5E-3"/>
        <n v="1.46E-2"/>
        <n v="2.0000000000000001E-4"/>
        <n v="0.58960000000000001"/>
        <n v="0.105"/>
        <n v="5.8200000000000002E-2"/>
        <n v="3.44E-2"/>
        <n v="1.3553999999999999"/>
        <n v="0.19969999999999999"/>
        <n v="0.36709999999999998"/>
        <n v="0.35680000000000001"/>
        <n v="0.13780000000000001"/>
        <n v="0.44719999999999999"/>
        <n v="8.8300000000000003E-2"/>
        <n v="9.9000000000000005E-2"/>
        <n v="0.112"/>
        <n v="1.7311000000000001"/>
        <n v="1.8512999999999999"/>
        <n v="1.3581000000000001"/>
        <n v="0.55779999999999996"/>
        <n v="2.6599999999999999E-2"/>
        <n v="0.15079999999999999"/>
        <n v="0.45979999999999999"/>
        <n v="0.61240000000000006"/>
        <n v="0.2651"/>
        <n v="6.4206000000000003"/>
        <n v="2.3370000000000002"/>
        <n v="2.3578999999999999"/>
        <n v="0.76090000000000002"/>
        <n v="4.19E-2"/>
        <n v="1.5896999999999999"/>
        <n v="0.28739999999999999"/>
        <n v="0.1991"/>
        <n v="1.18E-2"/>
        <n v="6.7299999999999999E-2"/>
        <n v="0.26029999999999998"/>
        <n v="0.23250000000000001"/>
        <n v="8.2974999999999994"/>
        <n v="12.227"/>
        <n v="0.1142"/>
        <n v="5.8836000000000004"/>
        <n v="0.37740000000000001"/>
        <n v="0.93120000000000003"/>
        <n v="1.2866"/>
        <n v="2.01E-2"/>
        <n v="1.21E-2"/>
        <n v="0.11890000000000001"/>
        <n v="0.56289999999999996"/>
        <n v="0.13650000000000001"/>
        <n v="0.1598"/>
        <n v="3.9899999999999998E-2"/>
        <n v="2.8E-3"/>
        <n v="1E-4"/>
      </sharedItems>
    </cacheField>
    <cacheField name="Imports_25_26" numFmtId="0">
      <sharedItems containsSemiMixedTypes="0" containsString="0" containsNumber="1" minValue="6.6100001335144043" maxValue="203415.625" count="98">
        <n v="24.520000457763672"/>
        <n v="13.529999732971191"/>
        <n v="289.57998657226563"/>
        <n v="79.849998474121094"/>
        <n v="54.630001068115234"/>
        <n v="76.449996948242188"/>
        <n v="3651.889892578125"/>
        <n v="5870.169921875"/>
        <n v="1281.6800537109375"/>
        <n v="124.98000335693359"/>
        <n v="123.80999755859375"/>
        <n v="866.45001220703125"/>
        <n v="437.20001220703125"/>
        <n v="132.42999267578125"/>
        <n v="19776.970703125"/>
        <n v="8.2899999618530273"/>
        <n v="1444.9599609375"/>
        <n v="1028.300048828125"/>
        <n v="233.02000427246094"/>
        <n v="275.72000122070313"/>
        <n v="262.6400146484375"/>
        <n v="1419.93994140625"/>
        <n v="868.8599853515625"/>
        <n v="145.38999938964844"/>
        <n v="5288.27001953125"/>
        <n v="10402.75"/>
        <n v="203415.625"/>
        <n v="14179.7197265625"/>
        <n v="25410.73046875"/>
        <n v="3607.429931640625"/>
        <n v="14580.1904296875"/>
        <n v="2685.510009765625"/>
        <n v="1535.6700439453125"/>
        <n v="1430.2099609375"/>
        <n v="1198.8399658203125"/>
        <n v="31.180000305175781"/>
        <n v="238.82000732421875"/>
        <n v="8857.0302734375"/>
        <n v="22232.5"/>
        <n v="4974.60986328125"/>
        <n v="390.98001098632813"/>
        <n v="532.16998291015625"/>
        <n v="7.2399997711181641"/>
        <n v="2398.219970703125"/>
        <n v="11.970000267028809"/>
        <n v="9.4399995803833008"/>
        <n v="3348.010009765625"/>
        <n v="3039.989990234375"/>
        <n v="247.28999328613281"/>
        <n v="208.1300048828125"/>
        <n v="335.30999755859375"/>
        <n v="2128.840087890625"/>
        <n v="540.59002685546875"/>
        <n v="1958.199951171875"/>
        <n v="1071.8199462890625"/>
        <n v="481.29998779296875"/>
        <n v="177.82000732421875"/>
        <n v="241.05999755859375"/>
        <n v="937.97998046875"/>
        <n v="950.09002685546875"/>
        <n v="818.32000732421875"/>
        <n v="893.72998046875"/>
        <n v="677.030029296875"/>
        <n v="627.1500244140625"/>
        <n v="47.040000915527344"/>
        <n v="40.990001678466797"/>
        <n v="37.990001678466797"/>
        <n v="1162.760009765625"/>
        <n v="1043.5999755859375"/>
        <n v="3123.389892578125"/>
        <n v="109429.21875"/>
        <n v="15752.900390625"/>
        <n v="5747.35009765625"/>
        <n v="12780.1796875"/>
        <n v="1187.6800537109375"/>
        <n v="10000.33984375"/>
        <n v="1171.06005859375"/>
        <n v="1100.4200439453125"/>
        <n v="517.96002197265625"/>
        <n v="773.09002685546875"/>
        <n v="1697.1700439453125"/>
        <n v="1292.0400390625"/>
        <n v="74002.15625"/>
        <n v="104824.71875"/>
        <n v="808.47998046875"/>
        <n v="9358.1904296875"/>
        <n v="13658.6298828125"/>
        <n v="4559.990234375"/>
        <n v="15352.8701171875"/>
        <n v="792.510009765625"/>
        <n v="85.300003051757813"/>
        <n v="116.79000091552734"/>
        <n v="1964.969970703125"/>
        <n v="638.52001953125"/>
        <n v="646.1099853515625"/>
        <n v="286.260009765625"/>
        <n v="1112.8399658203125"/>
        <n v="6.6100001335144043"/>
      </sharedItems>
    </cacheField>
    <cacheField name="percent_total_imports_25_26" numFmtId="0">
      <sharedItems containsSemiMixedTypes="0" containsString="0" containsNumber="1" minValue="8.9999999999999998E-4" maxValue="26.222999999999999" count="97">
        <n v="3.2000000000000002E-3"/>
        <n v="1.6999999999999999E-3"/>
        <n v="3.73E-2"/>
        <n v="1.03E-2"/>
        <n v="7.0000000000000001E-3"/>
        <n v="9.9000000000000008E-3"/>
        <n v="0.4708"/>
        <n v="0.75670000000000004"/>
        <n v="0.16520000000000001"/>
        <n v="1.61E-2"/>
        <n v="1.6E-2"/>
        <n v="0.11169999999999999"/>
        <n v="5.6399999999999999E-2"/>
        <n v="1.7100000000000001E-2"/>
        <n v="2.5495000000000001"/>
        <n v="1.1000000000000001E-3"/>
        <n v="0.18629999999999999"/>
        <n v="0.1326"/>
        <n v="0.03"/>
        <n v="3.5499999999999997E-2"/>
        <n v="3.39E-2"/>
        <n v="0.183"/>
        <n v="0.112"/>
        <n v="1.8700000000000001E-2"/>
        <n v="0.68169999999999997"/>
        <n v="1.3411"/>
        <n v="26.222999999999999"/>
        <n v="1.8280000000000001"/>
        <n v="3.2757999999999998"/>
        <n v="0.46500000000000002"/>
        <n v="1.8795999999999999"/>
        <n v="0.34620000000000001"/>
        <n v="0.19800000000000001"/>
        <n v="0.18440000000000001"/>
        <n v="0.1545"/>
        <n v="4.0000000000000001E-3"/>
        <n v="3.0800000000000001E-2"/>
        <n v="1.1417999999999999"/>
        <n v="2.8660999999999999"/>
        <n v="0.64129999999999998"/>
        <n v="5.04E-2"/>
        <n v="6.8599999999999994E-2"/>
        <n v="8.9999999999999998E-4"/>
        <n v="0.30919999999999997"/>
        <n v="1.5E-3"/>
        <n v="1.1999999999999999E-3"/>
        <n v="0.43159999999999998"/>
        <n v="0.39190000000000003"/>
        <n v="3.1899999999999998E-2"/>
        <n v="2.6800000000000001E-2"/>
        <n v="4.3200000000000002E-2"/>
        <n v="0.27439999999999998"/>
        <n v="6.9699999999999998E-2"/>
        <n v="0.25240000000000001"/>
        <n v="0.13819999999999999"/>
        <n v="6.2E-2"/>
        <n v="2.29E-2"/>
        <n v="3.1099999999999999E-2"/>
        <n v="0.12089999999999999"/>
        <n v="0.1225"/>
        <n v="0.1055"/>
        <n v="0.1152"/>
        <n v="8.7300000000000003E-2"/>
        <n v="8.0799999999999997E-2"/>
        <n v="6.1000000000000004E-3"/>
        <n v="5.3E-3"/>
        <n v="4.8999999999999998E-3"/>
        <n v="0.14990000000000001"/>
        <n v="0.13450000000000001"/>
        <n v="0.40260000000000001"/>
        <n v="14.1069"/>
        <n v="2.0308000000000002"/>
        <n v="0.7409"/>
        <n v="1.6475"/>
        <n v="0.15310000000000001"/>
        <n v="1.2891999999999999"/>
        <n v="0.151"/>
        <n v="0.1419"/>
        <n v="6.6799999999999998E-2"/>
        <n v="9.9699999999999997E-2"/>
        <n v="0.21879999999999999"/>
        <n v="0.1666"/>
        <n v="9.5398999999999994"/>
        <n v="13.513299999999999"/>
        <n v="0.1042"/>
        <n v="1.2063999999999999"/>
        <n v="1.7607999999999999"/>
        <n v="0.58779999999999999"/>
        <n v="1.9792000000000001"/>
        <n v="0.1022"/>
        <n v="1.0999999999999999E-2"/>
        <n v="1.5100000000000001E-2"/>
        <n v="0.25330000000000003"/>
        <n v="8.2299999999999998E-2"/>
        <n v="8.3299999999999999E-2"/>
        <n v="3.6900000000000002E-2"/>
        <n v="0.14349999999999999"/>
      </sharedItems>
    </cacheField>
    <cacheField name="Net_bal_25_26" numFmtId="0">
      <sharedItems containsSemiMixedTypes="0" containsString="0" containsNumber="1" minValue="-147544.29" maxValue="21465.96" count="98">
        <n v="0.85"/>
        <n v="5201.88"/>
        <n v="6726.6"/>
        <n v="838.96"/>
        <n v="319.01"/>
        <n v="16.100000000000001"/>
        <n v="-1393.49"/>
        <n v="-3979.18"/>
        <n v="4142.67"/>
        <n v="11882.5"/>
        <n v="502.51"/>
        <n v="1090.05"/>
        <n v="773.5"/>
        <n v="-88.05"/>
        <n v="-17549.09"/>
        <n v="800.51"/>
        <n v="1019.92"/>
        <n v="-710.37"/>
        <n v="755.01"/>
        <n v="969.25"/>
        <n v="1697.88"/>
        <n v="-966.59"/>
        <n v="1372.01"/>
        <n v="1803.59"/>
        <n v="-3006.59"/>
        <n v="-8263.52"/>
        <n v="-147544.29"/>
        <n v="-9684.2000000000007"/>
        <n v="-5001.9799999999996"/>
        <n v="21465.96"/>
        <n v="-14423.84"/>
        <n v="486.12"/>
        <n v="1120.72"/>
        <n v="-366.87"/>
        <n v="-762.57"/>
        <n v="528.66"/>
        <n v="-215.12"/>
        <n v="-1743.65"/>
        <n v="-14635.11"/>
        <n v="100.26"/>
        <n v="8.1"/>
        <n v="2113.41"/>
        <n v="-2.78"/>
        <n v="-1804.64"/>
        <n v="-5.33"/>
        <n v="54.86"/>
        <n v="-3347.03"/>
        <n v="-437.17"/>
        <n v="216.14"/>
        <n v="48.99"/>
        <n v="-183.53"/>
        <n v="3854.67"/>
        <n v="341.02"/>
        <n v="-337.43"/>
        <n v="503.5"/>
        <n v="127.06"/>
        <n v="1796.44"/>
        <n v="148.93"/>
        <n v="-501.09"/>
        <n v="-455.52"/>
        <n v="6823.74"/>
        <n v="7278.81"/>
        <n v="5318.27"/>
        <n v="1835.06"/>
        <n v="70.349999999999994"/>
        <n v="-34.5"/>
        <n v="627.54999999999995"/>
        <n v="867.06"/>
        <n v="1660.07"/>
        <n v="-1952.98"/>
        <n v="-81085.38"/>
        <n v="-5436.33"/>
        <n v="4661.6499999999996"/>
        <n v="-9421.34"/>
        <n v="-1002.69"/>
        <n v="-2982.66"/>
        <n v="97.62"/>
        <n v="-221.7"/>
        <n v="-465.99"/>
        <n v="-475.79"/>
        <n v="-548.27"/>
        <n v="-265.83"/>
        <n v="-37372.550000000003"/>
        <n v="-50848.42"/>
        <n v="-304.37"/>
        <n v="16615.169999999998"/>
        <n v="-11992.69"/>
        <n v="-449.22"/>
        <n v="-9673.0400000000009"/>
        <n v="-703.8"/>
        <n v="-31.89"/>
        <n v="407.97"/>
        <n v="519.79"/>
        <n v="-35.799999999999997"/>
        <n v="59.24"/>
        <n v="-109.99"/>
        <n v="-1100.3699999999999"/>
        <n v="-6.33"/>
      </sharedItems>
    </cacheField>
    <cacheField name="Total_Exports" numFmtId="0">
      <sharedItems containsSemiMixedTypes="0" containsString="0" containsNumber="1" minValue="16.149999999999999" maxValue="210519.7" count="98">
        <n v="57.44"/>
        <n v="13207.01"/>
        <n v="19436.919999999998"/>
        <n v="2397.5700000000002"/>
        <n v="932.38"/>
        <n v="267.83"/>
        <n v="6391.89"/>
        <n v="5223.2"/>
        <n v="15527.69"/>
        <n v="35753.9"/>
        <n v="2074.69"/>
        <n v="6228.13"/>
        <n v="3310.67"/>
        <n v="137.1"/>
        <n v="6093.51"/>
        <n v="2324.65"/>
        <n v="8257.98"/>
        <n v="797.18"/>
        <n v="2722.24"/>
        <n v="3623.78"/>
        <n v="5143.87"/>
        <n v="1357.6"/>
        <n v="7238.73"/>
        <n v="5377.52"/>
        <n v="6544.63"/>
        <n v="8757.1299999999992"/>
        <n v="210519.7"/>
        <n v="11760.97"/>
        <n v="60840.94"/>
        <n v="71757.05"/>
        <n v="448.52"/>
        <n v="10716.32"/>
        <n v="8323.11"/>
        <n v="3136.06"/>
        <n v="1211.48"/>
        <n v="1178.1600000000001"/>
        <n v="58.68"/>
        <n v="20663.21"/>
        <n v="23136.9"/>
        <n v="14513.21"/>
        <n v="1294.5"/>
        <n v="7715.04"/>
        <n v="23.55"/>
        <n v="1804.86"/>
        <n v="16.87"/>
        <n v="204.34"/>
        <n v="16.149999999999999"/>
        <n v="7854.75"/>
        <n v="1328.55"/>
        <n v="543.9"/>
        <n v="452.19"/>
        <n v="19098.310000000001"/>
        <n v="1964.94"/>
        <n v="5151.51"/>
        <n v="4827.8900000000003"/>
        <n v="1849.49"/>
        <n v="5947.54"/>
        <n v="1117.58"/>
        <n v="1419.83"/>
        <n v="1557.47"/>
        <n v="22086.55"/>
        <n v="24280.13"/>
        <n v="17684.64"/>
        <n v="7457.12"/>
        <n v="305.44"/>
        <n v="16.3"/>
        <n v="1853.44"/>
        <n v="6316.03"/>
        <n v="8475.7900000000009"/>
        <n v="3418.6"/>
        <n v="91155.35"/>
        <n v="31427"/>
        <n v="30527.49"/>
        <n v="7746.91"/>
        <n v="538.75"/>
        <n v="21494.99"/>
        <n v="2994.83"/>
        <n v="2346.5700000000002"/>
        <n v="92.48"/>
        <n v="551.26"/>
        <n v="3385.67"/>
        <n v="2879.79"/>
        <n v="100161.93"/>
        <n v="132438.41"/>
        <n v="1176.3800000000001"/>
        <n v="69511.039999999994"/>
        <n v="11873.63"/>
        <n v="12465.87"/>
        <n v="15955.5"/>
        <n v="253.1"/>
        <n v="145"/>
        <n v="1434.6"/>
        <n v="7459.12"/>
        <n v="1696.91"/>
        <n v="2161.88"/>
        <n v="672.99"/>
        <n v="53.99"/>
        <n v="94.51"/>
      </sharedItems>
    </cacheField>
    <cacheField name="Total_Imports" numFmtId="0">
      <sharedItems containsSemiMixedTypes="0" containsString="0" containsNumber="1" minValue="19.96" maxValue="640925.30000000005" count="98">
        <n v="69.87"/>
        <n v="27.8"/>
        <n v="704.14"/>
        <n v="186.02"/>
        <n v="142.52000000000001"/>
        <n v="177.89"/>
        <n v="13073.41"/>
        <n v="14803.66"/>
        <n v="3755.65"/>
        <n v="654.11"/>
        <n v="324.42"/>
        <n v="3037.37"/>
        <n v="1197.51"/>
        <n v="369.08"/>
        <n v="52428.08"/>
        <n v="25.84"/>
        <n v="5141.59"/>
        <n v="2535.1799999999998"/>
        <n v="570.04"/>
        <n v="595.04"/>
        <n v="683.8"/>
        <n v="4335"/>
        <n v="2213.4499999999998"/>
        <n v="366.29"/>
        <n v="14518.16"/>
        <n v="23622.71"/>
        <n v="640925.30000000005"/>
        <n v="34699.22"/>
        <n v="78746.36"/>
        <n v="9173.06"/>
        <n v="31789.02"/>
        <n v="9197.7800000000007"/>
        <n v="5045.8900000000003"/>
        <n v="4098.7299999999996"/>
        <n v="3025.86"/>
        <n v="75.3"/>
        <n v="688.9"/>
        <n v="24300.560000000001"/>
        <n v="66179.149999999994"/>
        <n v="13521.8"/>
        <n v="1217.8900000000001"/>
        <n v="1547.32"/>
        <n v="19.96"/>
        <n v="7304.77"/>
        <n v="36.020000000000003"/>
        <n v="27.83"/>
        <n v="9732.75"/>
        <n v="9329.69"/>
        <n v="778.82"/>
        <n v="593.63"/>
        <n v="935.07"/>
        <n v="4338.3999999999996"/>
        <n v="1838.49"/>
        <n v="5128.8599999999997"/>
        <n v="2812.92"/>
        <n v="1374.64"/>
        <n v="509.55"/>
        <n v="668.29"/>
        <n v="2518.8200000000002"/>
        <n v="2572.2800000000002"/>
        <n v="2186.67"/>
        <n v="2656.58"/>
        <n v="1953.97"/>
        <n v="2030.2"/>
        <n v="134.36000000000001"/>
        <n v="143.11000000000001"/>
        <n v="118.53"/>
        <n v="3244.47"/>
        <n v="2974.73"/>
        <n v="7105.54"/>
        <n v="276878.42"/>
        <n v="51798.86"/>
        <n v="16119.24"/>
        <n v="32774.75"/>
        <n v="3765.52"/>
        <n v="25137.47"/>
        <n v="3544.07"/>
        <n v="2702.32"/>
        <n v="1351.49"/>
        <n v="2117.6799999999998"/>
        <n v="4548.8599999999997"/>
        <n v="3756.75"/>
        <n v="195713.22"/>
        <n v="272721.83"/>
        <n v="2333.42"/>
        <n v="25227.16"/>
        <n v="40267.760000000002"/>
        <n v="12934.1"/>
        <n v="42117.26"/>
        <n v="2026.62"/>
        <n v="229.26"/>
        <n v="379.81"/>
        <n v="5274.79"/>
        <n v="1701.05"/>
        <n v="2057.7199999999998"/>
        <n v="1021.99"/>
        <n v="3743.69"/>
        <n v="23.35"/>
      </sharedItems>
    </cacheField>
    <cacheField name="Net_bal_3_years" numFmtId="0">
      <sharedItems containsSemiMixedTypes="0" containsString="0" containsNumber="1" minValue="-430405.6" maxValue="62583.99" count="98">
        <n v="-12.43"/>
        <n v="13179.21"/>
        <n v="18732.78"/>
        <n v="2211.5500000000002"/>
        <n v="789.86"/>
        <n v="89.94"/>
        <n v="-6681.52"/>
        <n v="-9580.4599999999991"/>
        <n v="11772.04"/>
        <n v="35099.79"/>
        <n v="1750.27"/>
        <n v="3190.76"/>
        <n v="2113.16"/>
        <n v="-231.98"/>
        <n v="-46334.57"/>
        <n v="2298.81"/>
        <n v="3116.39"/>
        <n v="-1738"/>
        <n v="2152.1999999999998"/>
        <n v="3028.74"/>
        <n v="4460.07"/>
        <n v="-2977.4"/>
        <n v="5025.28"/>
        <n v="5011.2299999999996"/>
        <n v="-7973.53"/>
        <n v="-14865.58"/>
        <n v="-430405.6"/>
        <n v="-22938.25"/>
        <n v="-17905.419999999998"/>
        <n v="62583.99"/>
        <n v="-31340.5"/>
        <n v="1518.54"/>
        <n v="3277.22"/>
        <n v="-962.67"/>
        <n v="-1814.38"/>
        <n v="1102.8599999999999"/>
        <n v="-630.22"/>
        <n v="-3637.35"/>
        <n v="-43042.25"/>
        <n v="991.41"/>
        <n v="76.61"/>
        <n v="6167.72"/>
        <n v="3.59"/>
        <n v="-5499.91"/>
        <n v="-19.149999999999999"/>
        <n v="176.51"/>
        <n v="-9716.6"/>
        <n v="-1474.94"/>
        <n v="549.73"/>
        <n v="-49.73"/>
        <n v="-482.88"/>
        <n v="14759.91"/>
        <n v="126.45"/>
        <n v="22.65"/>
        <n v="2014.97"/>
        <n v="474.85"/>
        <n v="5437.99"/>
        <n v="449.29"/>
        <n v="-1098.99"/>
        <n v="-1014.81"/>
        <n v="19899.88"/>
        <n v="21623.55"/>
        <n v="15730.67"/>
        <n v="5426.92"/>
        <n v="171.08"/>
        <n v="-126.81"/>
        <n v="1734.91"/>
        <n v="3071.56"/>
        <n v="5501.06"/>
        <n v="-3686.94"/>
        <n v="-185723.07"/>
        <n v="-20371.86"/>
        <n v="14408.25"/>
        <n v="-25027.84"/>
        <n v="-3226.77"/>
        <n v="-3642.48"/>
        <n v="-549.24"/>
        <n v="-355.75"/>
        <n v="-1259.01"/>
        <n v="-1566.42"/>
        <n v="-1163.19"/>
        <n v="-876.96"/>
        <n v="-95551.29"/>
        <n v="-140283.42000000001"/>
        <n v="-1157.04"/>
        <n v="44283.88"/>
        <n v="-28394.13"/>
        <n v="-468.23"/>
        <n v="-26161.759999999998"/>
        <n v="-1773.52"/>
        <n v="-84.26"/>
        <n v="1054.79"/>
        <n v="2184.33"/>
        <n v="-4.1399999999999997"/>
        <n v="104.16"/>
        <n v="-349"/>
        <n v="-3689.7"/>
        <n v="71.16"/>
      </sharedItems>
    </cacheField>
    <cacheField name="avg_export_growth_rate" numFmtId="0">
      <sharedItems containsSemiMixedTypes="0" containsString="0" containsNumber="1" minValue="-56.88" maxValue="80.7" count="98">
        <n v="44.02"/>
        <n v="16.96"/>
        <n v="7.12"/>
        <n v="22.14"/>
        <n v="18.34"/>
        <n v="3.33"/>
        <n v="7.99"/>
        <n v="7.55"/>
        <n v="7.16"/>
        <n v="5.08"/>
        <n v="-6.49"/>
        <n v="-4.4000000000000004"/>
        <n v="11.67"/>
        <n v="-1.45"/>
        <n v="10.5"/>
        <n v="5.61"/>
        <n v="-12.73"/>
        <n v="34.229999999999997"/>
        <n v="9.7100000000000009"/>
        <n v="3.81"/>
        <n v="15.51"/>
        <n v="0.19"/>
        <n v="-9.6199999999999992"/>
        <n v="17.5"/>
        <n v="1.79"/>
        <n v="-26.95"/>
        <n v="-20.07"/>
        <n v="18.690000000000001"/>
        <n v="0.25"/>
        <n v="6.6"/>
        <n v="10.54"/>
        <n v="-10.77"/>
        <n v="-5.25"/>
        <n v="3.46"/>
        <n v="7.43"/>
        <n v="54.49"/>
        <n v="25.58"/>
        <n v="4.0199999999999996"/>
        <n v="1.83"/>
        <n v="5.32"/>
        <n v="-5.56"/>
        <n v="4.03"/>
        <n v="-38.68"/>
        <n v="-2.2000000000000002"/>
        <n v="13.9"/>
        <n v="-3.04"/>
        <n v="-56.88"/>
        <n v="-0.43"/>
        <n v="3.82"/>
        <n v="44.59"/>
        <n v="-2.96"/>
        <n v="-6.06"/>
        <n v="36.71"/>
        <n v="-3.96"/>
        <n v="-1.97"/>
        <n v="3.6"/>
        <n v="2.98"/>
        <n v="4.08"/>
        <n v="-4.1100000000000003"/>
        <n v="4.45"/>
        <n v="6.74"/>
        <n v="2.41"/>
        <n v="3.74"/>
        <n v="-0.55000000000000004"/>
        <n v="11.63"/>
        <n v="19.86"/>
        <n v="6.51"/>
        <n v="-0.76"/>
        <n v="-5.7"/>
        <n v="2.93"/>
        <n v="-7.1"/>
        <n v="-5.24"/>
        <n v="2.34"/>
        <n v="25.79"/>
        <n v="6.15"/>
        <n v="-3.99"/>
        <n v="27.66"/>
        <n v="10.24"/>
        <n v="80.7"/>
        <n v="72.680000000000007"/>
        <n v="4.58"/>
        <n v="7.9"/>
        <n v="10.4"/>
        <n v="25.27"/>
        <n v="27.24"/>
        <n v="11.55"/>
        <n v="19.329999999999998"/>
        <n v="0.76"/>
        <n v="6.69"/>
        <n v="0.61"/>
        <n v="8.73"/>
        <n v="29.03"/>
        <n v="1.49"/>
        <n v="7.34"/>
        <n v="-1.22"/>
        <n v="-21.1"/>
        <n v="-29.03"/>
        <n v="-54.67"/>
      </sharedItems>
    </cacheField>
    <cacheField name="avg_import_growth_rate" numFmtId="0">
      <sharedItems containsSemiMixedTypes="0" containsString="0" containsNumber="1" minValue="-17.989999999999998" maxValue="64.7" count="98">
        <n v="15.38"/>
        <n v="46.16"/>
        <n v="26.71"/>
        <n v="25.16"/>
        <n v="12.67"/>
        <n v="52.61"/>
        <n v="5.6"/>
        <n v="18.46"/>
        <n v="6.82"/>
        <n v="64.489999999999995"/>
        <n v="16.350000000000001"/>
        <n v="-16.29"/>
        <n v="9.3800000000000008"/>
        <n v="10.25"/>
        <n v="14.62"/>
        <n v="-5.75"/>
        <n v="-17.309999999999999"/>
        <n v="48.67"/>
        <n v="22.19"/>
        <n v="40.39"/>
        <n v="18.38"/>
        <n v="-3.77"/>
        <n v="16.329999999999998"/>
        <n v="18.489999999999998"/>
        <n v="11.6"/>
        <n v="32.31"/>
        <n v="-3.58"/>
        <n v="24.54"/>
        <n v="-2.5099999999999998"/>
        <n v="18.170000000000002"/>
        <n v="34.409999999999997"/>
        <n v="-13.79"/>
        <n v="-11.97"/>
        <n v="10.28"/>
        <n v="18.61"/>
        <n v="23.52"/>
        <n v="5.28"/>
        <n v="9.19"/>
        <n v="0.92"/>
        <n v="12.87"/>
        <n v="-0.99"/>
        <n v="2.34"/>
        <n v="7.79"/>
        <n v="3.36"/>
        <n v="1.49"/>
        <n v="2.99"/>
        <n v="3.3"/>
        <n v="0.66"/>
        <n v="-8.09"/>
        <n v="1.24"/>
        <n v="4.8899999999999997"/>
        <n v="64.7"/>
        <n v="-6.02"/>
        <n v="10.37"/>
        <n v="10.41"/>
        <n v="7.37"/>
        <n v="6.38"/>
        <n v="9.98"/>
        <n v="10.35"/>
        <n v="14.53"/>
        <n v="13.28"/>
        <n v="2.59"/>
        <n v="2.81"/>
        <n v="-6.91"/>
        <n v="2.9"/>
        <n v="-8.44"/>
        <n v="-7.45"/>
        <n v="7.26"/>
        <n v="3.98"/>
        <n v="32.659999999999997"/>
        <n v="18.190000000000001"/>
        <n v="-8.07"/>
        <n v="6.07"/>
        <n v="17.649999999999999"/>
        <n v="-5.88"/>
        <n v="20.7"/>
        <n v="4.2699999999999996"/>
        <n v="19.64"/>
        <n v="25.34"/>
        <n v="7.94"/>
        <n v="11.7"/>
        <n v="3.51"/>
        <n v="13.55"/>
        <n v="15.02"/>
        <n v="2.19"/>
        <n v="10.92"/>
        <n v="3.87"/>
        <n v="11.02"/>
        <n v="9.02"/>
        <n v="17.010000000000002"/>
        <n v="12.05"/>
        <n v="-9.7100000000000009"/>
        <n v="11.17"/>
        <n v="11.23"/>
        <n v="-6.52"/>
        <n v="-17.989999999999998"/>
        <n v="-12.54"/>
        <n v="-17.41"/>
      </sharedItems>
    </cacheField>
    <cacheField name="export_growth_23_24_to_24_25" numFmtId="0">
      <sharedItems containsSemiMixedTypes="0" containsString="0" containsNumber="1" minValue="-99.67" maxValue="114.74"/>
    </cacheField>
    <cacheField name="export_growth_24_25_to_25_26" numFmtId="0">
      <sharedItems containsSemiMixedTypes="0" containsString="0" containsNumber="1" minValue="-84.39" maxValue="117.36"/>
    </cacheField>
    <cacheField name="import_growth_23_24_to_24_25" numFmtId="0">
      <sharedItems containsSemiMixedTypes="0" containsString="0" containsNumber="1" minValue="-42.15" maxValue="197.42"/>
    </cacheField>
    <cacheField name="import_growth_24_25_to_25_26" numFmtId="0">
      <sharedItems containsSemiMixedTypes="0" containsString="0" containsNumber="1" minValue="-68.44" maxValue="77.09"/>
    </cacheField>
  </cacheFields>
  <extLst>
    <ext xmlns:x14="http://schemas.microsoft.com/office/spreadsheetml/2009/9/main" uri="{725AE2AE-9491-48be-B2B4-4EB974FC3084}">
      <x14:pivotCacheDefinition pivotCacheId="19821521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u" refreshedDate="46269.846903819445" backgroundQuery="1" createdVersion="8" refreshedVersion="8" minRefreshableVersion="3" recordCount="0" supportSubquery="1" supportAdvancedDrill="1" xr:uid="{0F8F3A13-782E-4B09-A1B0-C727B097B4B5}">
  <cacheSource type="external" connectionId="8"/>
  <cacheFields count="5">
    <cacheField name="[trade_balance].[YEAR].[YEAR]" caption="YEAR" numFmtId="0" hierarchy="18" level="1">
      <sharedItems count="3">
        <s v="2023_24"/>
        <s v="2024_25"/>
        <s v="2025_26"/>
      </sharedItems>
    </cacheField>
    <cacheField name="[trade_balance].[MONTH].[MONTH]" caption="MONTH" numFmtId="0" hierarchy="19" level="1">
      <sharedItems count="12">
        <s v="APR"/>
        <s v="AUG"/>
        <s v="DEC"/>
        <s v="FEB"/>
        <s v="JAN"/>
        <s v="JUL"/>
        <s v="JUN"/>
        <s v="MAR"/>
        <s v="MAY"/>
        <s v="NOV"/>
        <s v="OCT"/>
        <s v="SEP"/>
      </sharedItems>
    </cacheField>
    <cacheField name="[Measures].[Sum of Exports]" caption="Sum of Exports" numFmtId="0" hierarchy="35" level="32767"/>
    <cacheField name="[Measures].[Sum of Imports]" caption="Sum of Imports" numFmtId="0" hierarchy="37" level="32767"/>
    <cacheField name="[Measures].[Sum of Trade_Balance]" caption="Sum of Trade_Balance" numFmtId="0" hierarchy="38" level="32767"/>
  </cacheFields>
  <cacheHierarchies count="39">
    <cacheHierarchy uniqueName="[fdi_of_country].[Country]" caption="Country" attribute="1" defaultMemberUniqueName="[fdi_of_country].[Country].[All]" allUniqueName="[fdi_of_country].[Country].[All]" dimensionUniqueName="[fdi_of_country]" displayFolder="" count="2" memberValueDatatype="130" unbalanced="0"/>
    <cacheHierarchy uniqueName="[fdi_of_country].[FY23_24]" caption="FY23_24" attribute="1" defaultMemberUniqueName="[fdi_of_country].[FY23_24].[All]" allUniqueName="[fdi_of_country].[FY23_24].[All]" dimensionUniqueName="[fdi_of_country]" displayFolder="" count="2" memberValueDatatype="5" unbalanced="0"/>
    <cacheHierarchy uniqueName="[fdi_of_country].[FY24_25]" caption="FY24_25" attribute="1" defaultMemberUniqueName="[fdi_of_country].[FY24_25].[All]" allUniqueName="[fdi_of_country].[FY24_25].[All]" dimensionUniqueName="[fdi_of_country]" displayFolder="" count="2" memberValueDatatype="5" unbalanced="0"/>
    <cacheHierarchy uniqueName="[fdi_of_country].[percent_cahnge_from_FY23_24]" caption="percent_cahnge_from_FY23_24" attribute="1" defaultMemberUniqueName="[fdi_of_country].[percent_cahnge_from_FY23_24].[All]" allUniqueName="[fdi_of_country].[percent_cahnge_from_FY23_24].[All]" dimensionUniqueName="[fdi_of_country]" displayFolder="" count="2" memberValueDatatype="5" unbalanced="0"/>
    <cacheHierarchy uniqueName="[fdi_of_country].[FY25_26]" caption="FY25_26" attribute="1" defaultMemberUniqueName="[fdi_of_country].[FY25_26].[All]" allUniqueName="[fdi_of_country].[FY25_26].[All]" dimensionUniqueName="[fdi_of_country]" displayFolder="" count="2" memberValueDatatype="5" unbalanced="0"/>
    <cacheHierarchy uniqueName="[fdi_of_country].[percent_cahnge_from_FY24_25]" caption="percent_cahnge_from_FY24_25" attribute="1" defaultMemberUniqueName="[fdi_of_country].[percent_cahnge_from_FY24_25].[All]" allUniqueName="[fdi_of_country].[percent_cahnge_from_FY24_25].[All]" dimensionUniqueName="[fdi_of_country]" displayFolder="" count="2" memberValueDatatype="5" unbalanced="0"/>
    <cacheHierarchy uniqueName="[fdi_of_country].[Net_change_in_3_yrs]" caption="Net_change_in_3_yrs" attribute="1" defaultMemberUniqueName="[fdi_of_country].[Net_change_in_3_yrs].[All]" allUniqueName="[fdi_of_country].[Net_change_in_3_yrs].[All]" dimensionUniqueName="[fdi_of_country]" displayFolder="" count="2" memberValueDatatype="5" unbalanced="0"/>
    <cacheHierarchy uniqueName="[fdi_of_country].[Total_FDI]" caption="Total_FDI" attribute="1" defaultMemberUniqueName="[fdi_of_country].[Total_FDI].[All]" allUniqueName="[fdi_of_country].[Total_FDI].[All]" dimensionUniqueName="[fdi_of_country]" displayFolder="" count="2" memberValueDatatype="5" unbalanced="0"/>
    <cacheHierarchy uniqueName="[fdi_of_country].[Median FDI]" caption="Median FDI" attribute="1" defaultMemberUniqueName="[fdi_of_country].[Median FDI].[All]" allUniqueName="[fdi_of_country].[Median FDI].[All]" dimensionUniqueName="[fdi_of_country]" displayFolder="" count="2" memberValueDatatype="20" unbalanced="0"/>
    <cacheHierarchy uniqueName="[fdi_of_country 1].[Country]" caption="Country" attribute="1" defaultMemberUniqueName="[fdi_of_country 1].[Country].[All]" allUniqueName="[fdi_of_country 1].[Country].[All]" dimensionUniqueName="[fdi_of_country 1]" displayFolder="" count="2" memberValueDatatype="130" unbalanced="0"/>
    <cacheHierarchy uniqueName="[fdi_of_country 1].[FY23_24]" caption="FY23_24" attribute="1" defaultMemberUniqueName="[fdi_of_country 1].[FY23_24].[All]" allUniqueName="[fdi_of_country 1].[FY23_24].[All]" dimensionUniqueName="[fdi_of_country 1]" displayFolder="" count="2" memberValueDatatype="20" unbalanced="0"/>
    <cacheHierarchy uniqueName="[fdi_of_country 1].[FY24_25]" caption="FY24_25" attribute="1" defaultMemberUniqueName="[fdi_of_country 1].[FY24_25].[All]" allUniqueName="[fdi_of_country 1].[FY24_25].[All]" dimensionUniqueName="[fdi_of_country 1]" displayFolder="" count="2" memberValueDatatype="20" unbalanced="0"/>
    <cacheHierarchy uniqueName="[fdi_of_country 1].[percent_cahnge_from_FY23_24]" caption="percent_cahnge_from_FY23_24" attribute="1" defaultMemberUniqueName="[fdi_of_country 1].[percent_cahnge_from_FY23_24].[All]" allUniqueName="[fdi_of_country 1].[percent_cahnge_from_FY23_24].[All]" dimensionUniqueName="[fdi_of_country 1]" displayFolder="" count="2" memberValueDatatype="5" unbalanced="0"/>
    <cacheHierarchy uniqueName="[fdi_of_country 1].[FY25_26]" caption="FY25_26" attribute="1" defaultMemberUniqueName="[fdi_of_country 1].[FY25_26].[All]" allUniqueName="[fdi_of_country 1].[FY25_26].[All]" dimensionUniqueName="[fdi_of_country 1]" displayFolder="" count="2" memberValueDatatype="20" unbalanced="0"/>
    <cacheHierarchy uniqueName="[fdi_of_country 1].[percent_cahnge_from_FY24_25]" caption="percent_cahnge_from_FY24_25" attribute="1" defaultMemberUniqueName="[fdi_of_country 1].[percent_cahnge_from_FY24_25].[All]" allUniqueName="[fdi_of_country 1].[percent_cahnge_from_FY24_25].[All]" dimensionUniqueName="[fdi_of_country 1]" displayFolder="" count="2" memberValueDatatype="5" unbalanced="0"/>
    <cacheHierarchy uniqueName="[fdi_of_country 1].[Net_change_in_3_yrs]" caption="Net_change_in_3_yrs" attribute="1" defaultMemberUniqueName="[fdi_of_country 1].[Net_change_in_3_yrs].[All]" allUniqueName="[fdi_of_country 1].[Net_change_in_3_yrs].[All]" dimensionUniqueName="[fdi_of_country 1]" displayFolder="" count="2" memberValueDatatype="5" unbalanced="0"/>
    <cacheHierarchy uniqueName="[fdi_of_country 1].[Total_FDI]" caption="Total_FDI" attribute="1" defaultMemberUniqueName="[fdi_of_country 1].[Total_FDI].[All]" allUniqueName="[fdi_of_country 1].[Total_FDI].[All]" dimensionUniqueName="[fdi_of_country 1]" displayFolder="" count="2" memberValueDatatype="20" unbalanced="0"/>
    <cacheHierarchy uniqueName="[fdi_of_country 1].[Median FDI]" caption="Median FDI" attribute="1" defaultMemberUniqueName="[fdi_of_country 1].[Median FDI].[All]" allUniqueName="[fdi_of_country 1].[Median FDI].[All]" dimensionUniqueName="[fdi_of_country 1]" displayFolder="" count="2" memberValueDatatype="20" unbalanced="0"/>
    <cacheHierarchy uniqueName="[trade_balance].[YEAR]" caption="YEAR" attribute="1" defaultMemberUniqueName="[trade_balance].[YEAR].[All]" allUniqueName="[trade_balance].[YEAR].[All]" dimensionUniqueName="[trade_balance]" displayFolder="" count="2" memberValueDatatype="130" unbalanced="0">
      <fieldsUsage count="2">
        <fieldUsage x="-1"/>
        <fieldUsage x="0"/>
      </fieldsUsage>
    </cacheHierarchy>
    <cacheHierarchy uniqueName="[trade_balance].[MONTH]" caption="MONTH" attribute="1" defaultMemberUniqueName="[trade_balance].[MONTH].[All]" allUniqueName="[trade_balance].[MONTH].[All]" dimensionUniqueName="[trade_balance]" displayFolder="" count="2" memberValueDatatype="130" unbalanced="0">
      <fieldsUsage count="2">
        <fieldUsage x="-1"/>
        <fieldUsage x="1"/>
      </fieldsUsage>
    </cacheHierarchy>
    <cacheHierarchy uniqueName="[trade_balance].[Exports]" caption="Exports" attribute="1" defaultMemberUniqueName="[trade_balance].[Exports].[All]" allUniqueName="[trade_balance].[Exports].[All]" dimensionUniqueName="[trade_balance]" displayFolder="" count="2" memberValueDatatype="5" unbalanced="0"/>
    <cacheHierarchy uniqueName="[trade_balance].[Previous_exports]" caption="Previous_exports" attribute="1" defaultMemberUniqueName="[trade_balance].[Previous_exports].[All]" allUniqueName="[trade_balance].[Previous_exports].[All]" dimensionUniqueName="[trade_balance]" displayFolder="" count="2" memberValueDatatype="5" unbalanced="0"/>
    <cacheHierarchy uniqueName="[trade_balance].[Change_percent_exp]" caption="Change_percent_exp" attribute="1" defaultMemberUniqueName="[trade_balance].[Change_percent_exp].[All]" allUniqueName="[trade_balance].[Change_percent_exp].[All]" dimensionUniqueName="[trade_balance]" displayFolder="" count="2" memberValueDatatype="5" unbalanced="0"/>
    <cacheHierarchy uniqueName="[trade_balance].[Imports]" caption="Imports" attribute="1" defaultMemberUniqueName="[trade_balance].[Imports].[All]" allUniqueName="[trade_balance].[Imports].[All]" dimensionUniqueName="[trade_balance]" displayFolder="" count="2" memberValueDatatype="5" unbalanced="0"/>
    <cacheHierarchy uniqueName="[trade_balance].[Previous_imports]" caption="Previous_imports" attribute="1" defaultMemberUniqueName="[trade_balance].[Previous_imports].[All]" allUniqueName="[trade_balance].[Previous_imports].[All]" dimensionUniqueName="[trade_balance]" displayFolder="" count="2" memberValueDatatype="5" unbalanced="0"/>
    <cacheHierarchy uniqueName="[trade_balance].[Change_percent_imp]" caption="Change_percent_imp" attribute="1" defaultMemberUniqueName="[trade_balance].[Change_percent_imp].[All]" allUniqueName="[trade_balance].[Change_percent_imp].[All]" dimensionUniqueName="[trade_balance]" displayFolder="" count="2" memberValueDatatype="5" unbalanced="0"/>
    <cacheHierarchy uniqueName="[trade_balance].[Trade_Balance]" caption="Trade_Balance" attribute="1" defaultMemberUniqueName="[trade_balance].[Trade_Balance].[All]" allUniqueName="[trade_balance].[Trade_Balance].[All]" dimensionUniqueName="[trade_balance]" displayFolder="" count="2" memberValueDatatype="5" unbalanced="0"/>
    <cacheHierarchy uniqueName="[Measures].[__XL_Count fdi_of_country]" caption="__XL_Count fdi_of_country" measure="1" displayFolder="" measureGroup="fdi_of_country" count="0" hidden="1"/>
    <cacheHierarchy uniqueName="[Measures].[__XL_Count fdi_of_country 1]" caption="__XL_Count fdi_of_country 1" measure="1" displayFolder="" measureGroup="fdi_of_country 1" count="0" hidden="1"/>
    <cacheHierarchy uniqueName="[Measures].[__XL_Count trade_balance]" caption="__XL_Count trade_balance" measure="1" displayFolder="" measureGroup="trade_balance" count="0" hidden="1"/>
    <cacheHierarchy uniqueName="[Measures].[__No measures defined]" caption="__No measures defined" measure="1" displayFolder="" count="0" hidden="1"/>
    <cacheHierarchy uniqueName="[Measures].[Sum of FY23_24]" caption="Sum of FY23_24" measure="1" displayFolder="" measureGroup="fdi_of_country" count="0" hidden="1">
      <extLst>
        <ext xmlns:x15="http://schemas.microsoft.com/office/spreadsheetml/2010/11/main" uri="{B97F6D7D-B522-45F9-BDA1-12C45D357490}">
          <x15:cacheHierarchy aggregatedColumn="1"/>
        </ext>
      </extLst>
    </cacheHierarchy>
    <cacheHierarchy uniqueName="[Measures].[Sum of FY24_25]" caption="Sum of FY24_25" measure="1" displayFolder="" measureGroup="fdi_of_country 1" count="0" hidden="1">
      <extLst>
        <ext xmlns:x15="http://schemas.microsoft.com/office/spreadsheetml/2010/11/main" uri="{B97F6D7D-B522-45F9-BDA1-12C45D357490}">
          <x15:cacheHierarchy aggregatedColumn="11"/>
        </ext>
      </extLst>
    </cacheHierarchy>
    <cacheHierarchy uniqueName="[Measures].[Sum of FY25_26]" caption="Sum of FY25_26" measure="1" displayFolder="" measureGroup="fdi_of_country 1" count="0" hidden="1">
      <extLst>
        <ext xmlns:x15="http://schemas.microsoft.com/office/spreadsheetml/2010/11/main" uri="{B97F6D7D-B522-45F9-BDA1-12C45D357490}">
          <x15:cacheHierarchy aggregatedColumn="13"/>
        </ext>
      </extLst>
    </cacheHierarchy>
    <cacheHierarchy uniqueName="[Measures].[Sum of Net_change_in_3_yrs]" caption="Sum of Net_change_in_3_yrs" measure="1" displayFolder="" measureGroup="fdi_of_country 1" count="0" hidden="1">
      <extLst>
        <ext xmlns:x15="http://schemas.microsoft.com/office/spreadsheetml/2010/11/main" uri="{B97F6D7D-B522-45F9-BDA1-12C45D357490}">
          <x15:cacheHierarchy aggregatedColumn="15"/>
        </ext>
      </extLst>
    </cacheHierarchy>
    <cacheHierarchy uniqueName="[Measures].[Sum of Exports]" caption="Sum of Exports" measure="1" displayFolder="" measureGroup="trade_balance"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Previous_exports]" caption="Sum of Previous_exports" measure="1" displayFolder="" measureGroup="trade_balance" count="0" hidden="1">
      <extLst>
        <ext xmlns:x15="http://schemas.microsoft.com/office/spreadsheetml/2010/11/main" uri="{B97F6D7D-B522-45F9-BDA1-12C45D357490}">
          <x15:cacheHierarchy aggregatedColumn="21"/>
        </ext>
      </extLst>
    </cacheHierarchy>
    <cacheHierarchy uniqueName="[Measures].[Sum of Imports]" caption="Sum of Imports" measure="1" displayFolder="" measureGroup="trade_balance"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Trade_Balance]" caption="Sum of Trade_Balance" measure="1" displayFolder="" measureGroup="trade_balance" count="0" oneField="1" hidden="1">
      <fieldsUsage count="1">
        <fieldUsage x="4"/>
      </fieldsUsage>
      <extLst>
        <ext xmlns:x15="http://schemas.microsoft.com/office/spreadsheetml/2010/11/main" uri="{B97F6D7D-B522-45F9-BDA1-12C45D357490}">
          <x15:cacheHierarchy aggregatedColumn="26"/>
        </ext>
      </extLst>
    </cacheHierarchy>
  </cacheHierarchies>
  <kpis count="0"/>
  <dimensions count="4">
    <dimension name="fdi_of_country" uniqueName="[fdi_of_country]" caption="fdi_of_country"/>
    <dimension name="fdi_of_country 1" uniqueName="[fdi_of_country 1]" caption="fdi_of_country 1"/>
    <dimension measure="1" name="Measures" uniqueName="[Measures]" caption="Measures"/>
    <dimension name="trade_balance" uniqueName="[trade_balance]" caption="trade_balance"/>
  </dimensions>
  <measureGroups count="3">
    <measureGroup name="fdi_of_country" caption="fdi_of_country"/>
    <measureGroup name="fdi_of_country 1" caption="fdi_of_country 1"/>
    <measureGroup name="trade_balance" caption="trade_balance"/>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u" refreshedDate="46269.841455902781" backgroundQuery="1" createdVersion="3" refreshedVersion="8" minRefreshableVersion="3" recordCount="0" supportSubquery="1" supportAdvancedDrill="1" xr:uid="{79B045F7-490B-47B2-9D19-BB86B47C0821}">
  <cacheSource type="external" connectionId="8">
    <extLst>
      <ext xmlns:x14="http://schemas.microsoft.com/office/spreadsheetml/2009/9/main" uri="{F057638F-6D5F-4e77-A914-E7F072B9BCA8}">
        <x14:sourceConnection name="ThisWorkbookDataModel"/>
      </ext>
    </extLst>
  </cacheSource>
  <cacheFields count="0"/>
  <cacheHierarchies count="39">
    <cacheHierarchy uniqueName="[fdi_of_country].[Country]" caption="Country" attribute="1" defaultMemberUniqueName="[fdi_of_country].[Country].[All]" allUniqueName="[fdi_of_country].[Country].[All]" dimensionUniqueName="[fdi_of_country]" displayFolder="" count="0" memberValueDatatype="130" unbalanced="0"/>
    <cacheHierarchy uniqueName="[fdi_of_country].[FY23_24]" caption="FY23_24" attribute="1" defaultMemberUniqueName="[fdi_of_country].[FY23_24].[All]" allUniqueName="[fdi_of_country].[FY23_24].[All]" dimensionUniqueName="[fdi_of_country]" displayFolder="" count="0" memberValueDatatype="5" unbalanced="0"/>
    <cacheHierarchy uniqueName="[fdi_of_country].[FY24_25]" caption="FY24_25" attribute="1" defaultMemberUniqueName="[fdi_of_country].[FY24_25].[All]" allUniqueName="[fdi_of_country].[FY24_25].[All]" dimensionUniqueName="[fdi_of_country]" displayFolder="" count="0" memberValueDatatype="5" unbalanced="0"/>
    <cacheHierarchy uniqueName="[fdi_of_country].[percent_cahnge_from_FY23_24]" caption="percent_cahnge_from_FY23_24" attribute="1" defaultMemberUniqueName="[fdi_of_country].[percent_cahnge_from_FY23_24].[All]" allUniqueName="[fdi_of_country].[percent_cahnge_from_FY23_24].[All]" dimensionUniqueName="[fdi_of_country]" displayFolder="" count="0" memberValueDatatype="5" unbalanced="0"/>
    <cacheHierarchy uniqueName="[fdi_of_country].[FY25_26]" caption="FY25_26" attribute="1" defaultMemberUniqueName="[fdi_of_country].[FY25_26].[All]" allUniqueName="[fdi_of_country].[FY25_26].[All]" dimensionUniqueName="[fdi_of_country]" displayFolder="" count="0" memberValueDatatype="5" unbalanced="0"/>
    <cacheHierarchy uniqueName="[fdi_of_country].[percent_cahnge_from_FY24_25]" caption="percent_cahnge_from_FY24_25" attribute="1" defaultMemberUniqueName="[fdi_of_country].[percent_cahnge_from_FY24_25].[All]" allUniqueName="[fdi_of_country].[percent_cahnge_from_FY24_25].[All]" dimensionUniqueName="[fdi_of_country]" displayFolder="" count="0" memberValueDatatype="5" unbalanced="0"/>
    <cacheHierarchy uniqueName="[fdi_of_country].[Net_change_in_3_yrs]" caption="Net_change_in_3_yrs" attribute="1" defaultMemberUniqueName="[fdi_of_country].[Net_change_in_3_yrs].[All]" allUniqueName="[fdi_of_country].[Net_change_in_3_yrs].[All]" dimensionUniqueName="[fdi_of_country]" displayFolder="" count="0" memberValueDatatype="5" unbalanced="0"/>
    <cacheHierarchy uniqueName="[fdi_of_country].[Total_FDI]" caption="Total_FDI" attribute="1" defaultMemberUniqueName="[fdi_of_country].[Total_FDI].[All]" allUniqueName="[fdi_of_country].[Total_FDI].[All]" dimensionUniqueName="[fdi_of_country]" displayFolder="" count="0" memberValueDatatype="5" unbalanced="0"/>
    <cacheHierarchy uniqueName="[fdi_of_country].[Median FDI]" caption="Median FDI" attribute="1" defaultMemberUniqueName="[fdi_of_country].[Median FDI].[All]" allUniqueName="[fdi_of_country].[Median FDI].[All]" dimensionUniqueName="[fdi_of_country]" displayFolder="" count="0" memberValueDatatype="20" unbalanced="0"/>
    <cacheHierarchy uniqueName="[fdi_of_country 1].[Country]" caption="Country" attribute="1" defaultMemberUniqueName="[fdi_of_country 1].[Country].[All]" allUniqueName="[fdi_of_country 1].[Country].[All]" dimensionUniqueName="[fdi_of_country 1]" displayFolder="" count="0" memberValueDatatype="130" unbalanced="0"/>
    <cacheHierarchy uniqueName="[fdi_of_country 1].[FY23_24]" caption="FY23_24" attribute="1" defaultMemberUniqueName="[fdi_of_country 1].[FY23_24].[All]" allUniqueName="[fdi_of_country 1].[FY23_24].[All]" dimensionUniqueName="[fdi_of_country 1]" displayFolder="" count="0" memberValueDatatype="20" unbalanced="0"/>
    <cacheHierarchy uniqueName="[fdi_of_country 1].[FY24_25]" caption="FY24_25" attribute="1" defaultMemberUniqueName="[fdi_of_country 1].[FY24_25].[All]" allUniqueName="[fdi_of_country 1].[FY24_25].[All]" dimensionUniqueName="[fdi_of_country 1]" displayFolder="" count="0" memberValueDatatype="20" unbalanced="0"/>
    <cacheHierarchy uniqueName="[fdi_of_country 1].[percent_cahnge_from_FY23_24]" caption="percent_cahnge_from_FY23_24" attribute="1" defaultMemberUniqueName="[fdi_of_country 1].[percent_cahnge_from_FY23_24].[All]" allUniqueName="[fdi_of_country 1].[percent_cahnge_from_FY23_24].[All]" dimensionUniqueName="[fdi_of_country 1]" displayFolder="" count="0" memberValueDatatype="5" unbalanced="0"/>
    <cacheHierarchy uniqueName="[fdi_of_country 1].[FY25_26]" caption="FY25_26" attribute="1" defaultMemberUniqueName="[fdi_of_country 1].[FY25_26].[All]" allUniqueName="[fdi_of_country 1].[FY25_26].[All]" dimensionUniqueName="[fdi_of_country 1]" displayFolder="" count="0" memberValueDatatype="20" unbalanced="0"/>
    <cacheHierarchy uniqueName="[fdi_of_country 1].[percent_cahnge_from_FY24_25]" caption="percent_cahnge_from_FY24_25" attribute="1" defaultMemberUniqueName="[fdi_of_country 1].[percent_cahnge_from_FY24_25].[All]" allUniqueName="[fdi_of_country 1].[percent_cahnge_from_FY24_25].[All]" dimensionUniqueName="[fdi_of_country 1]" displayFolder="" count="0" memberValueDatatype="5" unbalanced="0"/>
    <cacheHierarchy uniqueName="[fdi_of_country 1].[Net_change_in_3_yrs]" caption="Net_change_in_3_yrs" attribute="1" defaultMemberUniqueName="[fdi_of_country 1].[Net_change_in_3_yrs].[All]" allUniqueName="[fdi_of_country 1].[Net_change_in_3_yrs].[All]" dimensionUniqueName="[fdi_of_country 1]" displayFolder="" count="0" memberValueDatatype="5" unbalanced="0"/>
    <cacheHierarchy uniqueName="[fdi_of_country 1].[Total_FDI]" caption="Total_FDI" attribute="1" defaultMemberUniqueName="[fdi_of_country 1].[Total_FDI].[All]" allUniqueName="[fdi_of_country 1].[Total_FDI].[All]" dimensionUniqueName="[fdi_of_country 1]" displayFolder="" count="0" memberValueDatatype="20" unbalanced="0"/>
    <cacheHierarchy uniqueName="[fdi_of_country 1].[Median FDI]" caption="Median FDI" attribute="1" defaultMemberUniqueName="[fdi_of_country 1].[Median FDI].[All]" allUniqueName="[fdi_of_country 1].[Median FDI].[All]" dimensionUniqueName="[fdi_of_country 1]" displayFolder="" count="0" memberValueDatatype="20" unbalanced="0"/>
    <cacheHierarchy uniqueName="[trade_balance].[YEAR]" caption="YEAR" attribute="1" defaultMemberUniqueName="[trade_balance].[YEAR].[All]" allUniqueName="[trade_balance].[YEAR].[All]" dimensionUniqueName="[trade_balance]" displayFolder="" count="2" memberValueDatatype="130" unbalanced="0"/>
    <cacheHierarchy uniqueName="[trade_balance].[MONTH]" caption="MONTH" attribute="1" defaultMemberUniqueName="[trade_balance].[MONTH].[All]" allUniqueName="[trade_balance].[MONTH].[All]" dimensionUniqueName="[trade_balance]" displayFolder="" count="2" memberValueDatatype="130" unbalanced="0"/>
    <cacheHierarchy uniqueName="[trade_balance].[Exports]" caption="Exports" attribute="1" defaultMemberUniqueName="[trade_balance].[Exports].[All]" allUniqueName="[trade_balance].[Exports].[All]" dimensionUniqueName="[trade_balance]" displayFolder="" count="0" memberValueDatatype="5" unbalanced="0"/>
    <cacheHierarchy uniqueName="[trade_balance].[Previous_exports]" caption="Previous_exports" attribute="1" defaultMemberUniqueName="[trade_balance].[Previous_exports].[All]" allUniqueName="[trade_balance].[Previous_exports].[All]" dimensionUniqueName="[trade_balance]" displayFolder="" count="0" memberValueDatatype="5" unbalanced="0"/>
    <cacheHierarchy uniqueName="[trade_balance].[Change_percent_exp]" caption="Change_percent_exp" attribute="1" defaultMemberUniqueName="[trade_balance].[Change_percent_exp].[All]" allUniqueName="[trade_balance].[Change_percent_exp].[All]" dimensionUniqueName="[trade_balance]" displayFolder="" count="0" memberValueDatatype="5" unbalanced="0"/>
    <cacheHierarchy uniqueName="[trade_balance].[Imports]" caption="Imports" attribute="1" defaultMemberUniqueName="[trade_balance].[Imports].[All]" allUniqueName="[trade_balance].[Imports].[All]" dimensionUniqueName="[trade_balance]" displayFolder="" count="0" memberValueDatatype="5" unbalanced="0"/>
    <cacheHierarchy uniqueName="[trade_balance].[Previous_imports]" caption="Previous_imports" attribute="1" defaultMemberUniqueName="[trade_balance].[Previous_imports].[All]" allUniqueName="[trade_balance].[Previous_imports].[All]" dimensionUniqueName="[trade_balance]" displayFolder="" count="0" memberValueDatatype="5" unbalanced="0"/>
    <cacheHierarchy uniqueName="[trade_balance].[Change_percent_imp]" caption="Change_percent_imp" attribute="1" defaultMemberUniqueName="[trade_balance].[Change_percent_imp].[All]" allUniqueName="[trade_balance].[Change_percent_imp].[All]" dimensionUniqueName="[trade_balance]" displayFolder="" count="0" memberValueDatatype="5" unbalanced="0"/>
    <cacheHierarchy uniqueName="[trade_balance].[Trade_Balance]" caption="Trade_Balance" attribute="1" defaultMemberUniqueName="[trade_balance].[Trade_Balance].[All]" allUniqueName="[trade_balance].[Trade_Balance].[All]" dimensionUniqueName="[trade_balance]" displayFolder="" count="0" memberValueDatatype="5" unbalanced="0"/>
    <cacheHierarchy uniqueName="[Measures].[__XL_Count fdi_of_country]" caption="__XL_Count fdi_of_country" measure="1" displayFolder="" measureGroup="fdi_of_country" count="0" hidden="1"/>
    <cacheHierarchy uniqueName="[Measures].[__XL_Count fdi_of_country 1]" caption="__XL_Count fdi_of_country 1" measure="1" displayFolder="" measureGroup="fdi_of_country 1" count="0" hidden="1"/>
    <cacheHierarchy uniqueName="[Measures].[__XL_Count trade_balance]" caption="__XL_Count trade_balance" measure="1" displayFolder="" measureGroup="trade_balance" count="0" hidden="1"/>
    <cacheHierarchy uniqueName="[Measures].[__No measures defined]" caption="__No measures defined" measure="1" displayFolder="" count="0" hidden="1"/>
    <cacheHierarchy uniqueName="[Measures].[Sum of FY23_24]" caption="Sum of FY23_24" measure="1" displayFolder="" measureGroup="fdi_of_country" count="0" hidden="1">
      <extLst>
        <ext xmlns:x15="http://schemas.microsoft.com/office/spreadsheetml/2010/11/main" uri="{B97F6D7D-B522-45F9-BDA1-12C45D357490}">
          <x15:cacheHierarchy aggregatedColumn="1"/>
        </ext>
      </extLst>
    </cacheHierarchy>
    <cacheHierarchy uniqueName="[Measures].[Sum of FY24_25]" caption="Sum of FY24_25" measure="1" displayFolder="" measureGroup="fdi_of_country 1" count="0" hidden="1">
      <extLst>
        <ext xmlns:x15="http://schemas.microsoft.com/office/spreadsheetml/2010/11/main" uri="{B97F6D7D-B522-45F9-BDA1-12C45D357490}">
          <x15:cacheHierarchy aggregatedColumn="11"/>
        </ext>
      </extLst>
    </cacheHierarchy>
    <cacheHierarchy uniqueName="[Measures].[Sum of FY25_26]" caption="Sum of FY25_26" measure="1" displayFolder="" measureGroup="fdi_of_country 1" count="0" hidden="1">
      <extLst>
        <ext xmlns:x15="http://schemas.microsoft.com/office/spreadsheetml/2010/11/main" uri="{B97F6D7D-B522-45F9-BDA1-12C45D357490}">
          <x15:cacheHierarchy aggregatedColumn="13"/>
        </ext>
      </extLst>
    </cacheHierarchy>
    <cacheHierarchy uniqueName="[Measures].[Sum of Net_change_in_3_yrs]" caption="Sum of Net_change_in_3_yrs" measure="1" displayFolder="" measureGroup="fdi_of_country 1" count="0" hidden="1">
      <extLst>
        <ext xmlns:x15="http://schemas.microsoft.com/office/spreadsheetml/2010/11/main" uri="{B97F6D7D-B522-45F9-BDA1-12C45D357490}">
          <x15:cacheHierarchy aggregatedColumn="15"/>
        </ext>
      </extLst>
    </cacheHierarchy>
    <cacheHierarchy uniqueName="[Measures].[Sum of Exports]" caption="Sum of Exports" measure="1" displayFolder="" measureGroup="trade_balance" count="0" hidden="1">
      <extLst>
        <ext xmlns:x15="http://schemas.microsoft.com/office/spreadsheetml/2010/11/main" uri="{B97F6D7D-B522-45F9-BDA1-12C45D357490}">
          <x15:cacheHierarchy aggregatedColumn="20"/>
        </ext>
      </extLst>
    </cacheHierarchy>
    <cacheHierarchy uniqueName="[Measures].[Sum of Previous_exports]" caption="Sum of Previous_exports" measure="1" displayFolder="" measureGroup="trade_balance" count="0" hidden="1">
      <extLst>
        <ext xmlns:x15="http://schemas.microsoft.com/office/spreadsheetml/2010/11/main" uri="{B97F6D7D-B522-45F9-BDA1-12C45D357490}">
          <x15:cacheHierarchy aggregatedColumn="21"/>
        </ext>
      </extLst>
    </cacheHierarchy>
    <cacheHierarchy uniqueName="[Measures].[Sum of Imports]" caption="Sum of Imports" measure="1" displayFolder="" measureGroup="trade_balance" count="0" hidden="1">
      <extLst>
        <ext xmlns:x15="http://schemas.microsoft.com/office/spreadsheetml/2010/11/main" uri="{B97F6D7D-B522-45F9-BDA1-12C45D357490}">
          <x15:cacheHierarchy aggregatedColumn="23"/>
        </ext>
      </extLst>
    </cacheHierarchy>
    <cacheHierarchy uniqueName="[Measures].[Sum of Trade_Balance]" caption="Sum of Trade_Balance" measure="1" displayFolder="" measureGroup="trade_balance"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42951368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u" refreshedDate="46269.841047569447" backgroundQuery="1" createdVersion="8" refreshedVersion="8" minRefreshableVersion="3" recordCount="0" supportSubquery="1" supportAdvancedDrill="1" xr:uid="{0444E9E6-8E22-4F33-A826-D21A1A450157}">
  <cacheSource type="external" connectionId="8">
    <extLst>
      <ext xmlns:x14="http://schemas.microsoft.com/office/spreadsheetml/2009/9/main" uri="{F057638F-6D5F-4e77-A914-E7F072B9BCA8}">
        <x14:sourceConnection name="ThisWorkbookDataModel"/>
      </ext>
    </extLst>
  </cacheSource>
  <cacheFields count="5">
    <cacheField name="[fdi_of_country].[Country].[Country]" caption="Country" numFmtId="0" level="1">
      <sharedItems count="10">
        <s v="Cayman Islands"/>
        <s v="Cyprus"/>
        <s v="Germany"/>
        <s v="Japan"/>
        <s v="Mauritius"/>
        <s v="Netherland"/>
        <s v="Singapore"/>
        <s v="U.S.A."/>
        <s v="UAE"/>
        <s v="United Kingdom"/>
      </sharedItems>
    </cacheField>
    <cacheField name="[Measures].[Sum of FY23_24]" caption="Sum of FY23_24" numFmtId="0" hierarchy="31" level="32767"/>
    <cacheField name="[Measures].[Sum of FY24_25]" caption="Sum of FY24_25" numFmtId="0" hierarchy="32" level="32767"/>
    <cacheField name="[Measures].[Sum of FY25_26]" caption="Sum of FY25_26" numFmtId="0" hierarchy="33" level="32767"/>
    <cacheField name="[fdi_of_country 1].[Country].[Country]" caption="Country" numFmtId="0" hierarchy="9" level="1">
      <sharedItems containsSemiMixedTypes="0" containsNonDate="0" containsString="0"/>
    </cacheField>
  </cacheFields>
  <cacheHierarchies count="39">
    <cacheHierarchy uniqueName="[fdi_of_country].[Country]" caption="Country" attribute="1" defaultMemberUniqueName="[fdi_of_country].[Country].[All]" allUniqueName="[fdi_of_country].[Country].[All]" dimensionUniqueName="[fdi_of_country]" displayFolder="" count="2" memberValueDatatype="130" unbalanced="0">
      <fieldsUsage count="2">
        <fieldUsage x="-1"/>
        <fieldUsage x="0"/>
      </fieldsUsage>
    </cacheHierarchy>
    <cacheHierarchy uniqueName="[fdi_of_country].[FY23_24]" caption="FY23_24" attribute="1" defaultMemberUniqueName="[fdi_of_country].[FY23_24].[All]" allUniqueName="[fdi_of_country].[FY23_24].[All]" dimensionUniqueName="[fdi_of_country]" displayFolder="" count="0" memberValueDatatype="5" unbalanced="0"/>
    <cacheHierarchy uniqueName="[fdi_of_country].[FY24_25]" caption="FY24_25" attribute="1" defaultMemberUniqueName="[fdi_of_country].[FY24_25].[All]" allUniqueName="[fdi_of_country].[FY24_25].[All]" dimensionUniqueName="[fdi_of_country]" displayFolder="" count="0" memberValueDatatype="5" unbalanced="0"/>
    <cacheHierarchy uniqueName="[fdi_of_country].[percent_cahnge_from_FY23_24]" caption="percent_cahnge_from_FY23_24" attribute="1" defaultMemberUniqueName="[fdi_of_country].[percent_cahnge_from_FY23_24].[All]" allUniqueName="[fdi_of_country].[percent_cahnge_from_FY23_24].[All]" dimensionUniqueName="[fdi_of_country]" displayFolder="" count="0" memberValueDatatype="5" unbalanced="0"/>
    <cacheHierarchy uniqueName="[fdi_of_country].[FY25_26]" caption="FY25_26" attribute="1" defaultMemberUniqueName="[fdi_of_country].[FY25_26].[All]" allUniqueName="[fdi_of_country].[FY25_26].[All]" dimensionUniqueName="[fdi_of_country]" displayFolder="" count="0" memberValueDatatype="5" unbalanced="0"/>
    <cacheHierarchy uniqueName="[fdi_of_country].[percent_cahnge_from_FY24_25]" caption="percent_cahnge_from_FY24_25" attribute="1" defaultMemberUniqueName="[fdi_of_country].[percent_cahnge_from_FY24_25].[All]" allUniqueName="[fdi_of_country].[percent_cahnge_from_FY24_25].[All]" dimensionUniqueName="[fdi_of_country]" displayFolder="" count="0" memberValueDatatype="5" unbalanced="0"/>
    <cacheHierarchy uniqueName="[fdi_of_country].[Net_change_in_3_yrs]" caption="Net_change_in_3_yrs" attribute="1" defaultMemberUniqueName="[fdi_of_country].[Net_change_in_3_yrs].[All]" allUniqueName="[fdi_of_country].[Net_change_in_3_yrs].[All]" dimensionUniqueName="[fdi_of_country]" displayFolder="" count="0" memberValueDatatype="5" unbalanced="0"/>
    <cacheHierarchy uniqueName="[fdi_of_country].[Total_FDI]" caption="Total_FDI" attribute="1" defaultMemberUniqueName="[fdi_of_country].[Total_FDI].[All]" allUniqueName="[fdi_of_country].[Total_FDI].[All]" dimensionUniqueName="[fdi_of_country]" displayFolder="" count="0" memberValueDatatype="5" unbalanced="0"/>
    <cacheHierarchy uniqueName="[fdi_of_country].[Median FDI]" caption="Median FDI" attribute="1" defaultMemberUniqueName="[fdi_of_country].[Median FDI].[All]" allUniqueName="[fdi_of_country].[Median FDI].[All]" dimensionUniqueName="[fdi_of_country]" displayFolder="" count="0" memberValueDatatype="20" unbalanced="0"/>
    <cacheHierarchy uniqueName="[fdi_of_country 1].[Country]" caption="Country" attribute="1" defaultMemberUniqueName="[fdi_of_country 1].[Country].[All]" allUniqueName="[fdi_of_country 1].[Country].[All]" dimensionUniqueName="[fdi_of_country 1]" displayFolder="" count="2" memberValueDatatype="130" unbalanced="0">
      <fieldsUsage count="2">
        <fieldUsage x="-1"/>
        <fieldUsage x="4"/>
      </fieldsUsage>
    </cacheHierarchy>
    <cacheHierarchy uniqueName="[fdi_of_country 1].[FY23_24]" caption="FY23_24" attribute="1" defaultMemberUniqueName="[fdi_of_country 1].[FY23_24].[All]" allUniqueName="[fdi_of_country 1].[FY23_24].[All]" dimensionUniqueName="[fdi_of_country 1]" displayFolder="" count="0" memberValueDatatype="20" unbalanced="0"/>
    <cacheHierarchy uniqueName="[fdi_of_country 1].[FY24_25]" caption="FY24_25" attribute="1" defaultMemberUniqueName="[fdi_of_country 1].[FY24_25].[All]" allUniqueName="[fdi_of_country 1].[FY24_25].[All]" dimensionUniqueName="[fdi_of_country 1]" displayFolder="" count="0" memberValueDatatype="20" unbalanced="0"/>
    <cacheHierarchy uniqueName="[fdi_of_country 1].[percent_cahnge_from_FY23_24]" caption="percent_cahnge_from_FY23_24" attribute="1" defaultMemberUniqueName="[fdi_of_country 1].[percent_cahnge_from_FY23_24].[All]" allUniqueName="[fdi_of_country 1].[percent_cahnge_from_FY23_24].[All]" dimensionUniqueName="[fdi_of_country 1]" displayFolder="" count="0" memberValueDatatype="5" unbalanced="0"/>
    <cacheHierarchy uniqueName="[fdi_of_country 1].[FY25_26]" caption="FY25_26" attribute="1" defaultMemberUniqueName="[fdi_of_country 1].[FY25_26].[All]" allUniqueName="[fdi_of_country 1].[FY25_26].[All]" dimensionUniqueName="[fdi_of_country 1]" displayFolder="" count="0" memberValueDatatype="20" unbalanced="0"/>
    <cacheHierarchy uniqueName="[fdi_of_country 1].[percent_cahnge_from_FY24_25]" caption="percent_cahnge_from_FY24_25" attribute="1" defaultMemberUniqueName="[fdi_of_country 1].[percent_cahnge_from_FY24_25].[All]" allUniqueName="[fdi_of_country 1].[percent_cahnge_from_FY24_25].[All]" dimensionUniqueName="[fdi_of_country 1]" displayFolder="" count="0" memberValueDatatype="5" unbalanced="0"/>
    <cacheHierarchy uniqueName="[fdi_of_country 1].[Net_change_in_3_yrs]" caption="Net_change_in_3_yrs" attribute="1" defaultMemberUniqueName="[fdi_of_country 1].[Net_change_in_3_yrs].[All]" allUniqueName="[fdi_of_country 1].[Net_change_in_3_yrs].[All]" dimensionUniqueName="[fdi_of_country 1]" displayFolder="" count="0" memberValueDatatype="5" unbalanced="0"/>
    <cacheHierarchy uniqueName="[fdi_of_country 1].[Total_FDI]" caption="Total_FDI" attribute="1" defaultMemberUniqueName="[fdi_of_country 1].[Total_FDI].[All]" allUniqueName="[fdi_of_country 1].[Total_FDI].[All]" dimensionUniqueName="[fdi_of_country 1]" displayFolder="" count="0" memberValueDatatype="20" unbalanced="0"/>
    <cacheHierarchy uniqueName="[fdi_of_country 1].[Median FDI]" caption="Median FDI" attribute="1" defaultMemberUniqueName="[fdi_of_country 1].[Median FDI].[All]" allUniqueName="[fdi_of_country 1].[Median FDI].[All]" dimensionUniqueName="[fdi_of_country 1]" displayFolder="" count="0" memberValueDatatype="20" unbalanced="0"/>
    <cacheHierarchy uniqueName="[trade_balance].[YEAR]" caption="YEAR" attribute="1" defaultMemberUniqueName="[trade_balance].[YEAR].[All]" allUniqueName="[trade_balance].[YEAR].[All]" dimensionUniqueName="[trade_balance]" displayFolder="" count="0" memberValueDatatype="130" unbalanced="0"/>
    <cacheHierarchy uniqueName="[trade_balance].[MONTH]" caption="MONTH" attribute="1" defaultMemberUniqueName="[trade_balance].[MONTH].[All]" allUniqueName="[trade_balance].[MONTH].[All]" dimensionUniqueName="[trade_balance]" displayFolder="" count="0" memberValueDatatype="130" unbalanced="0"/>
    <cacheHierarchy uniqueName="[trade_balance].[Exports]" caption="Exports" attribute="1" defaultMemberUniqueName="[trade_balance].[Exports].[All]" allUniqueName="[trade_balance].[Exports].[All]" dimensionUniqueName="[trade_balance]" displayFolder="" count="0" memberValueDatatype="5" unbalanced="0"/>
    <cacheHierarchy uniqueName="[trade_balance].[Previous_exports]" caption="Previous_exports" attribute="1" defaultMemberUniqueName="[trade_balance].[Previous_exports].[All]" allUniqueName="[trade_balance].[Previous_exports].[All]" dimensionUniqueName="[trade_balance]" displayFolder="" count="0" memberValueDatatype="5" unbalanced="0"/>
    <cacheHierarchy uniqueName="[trade_balance].[Change_percent_exp]" caption="Change_percent_exp" attribute="1" defaultMemberUniqueName="[trade_balance].[Change_percent_exp].[All]" allUniqueName="[trade_balance].[Change_percent_exp].[All]" dimensionUniqueName="[trade_balance]" displayFolder="" count="0" memberValueDatatype="5" unbalanced="0"/>
    <cacheHierarchy uniqueName="[trade_balance].[Imports]" caption="Imports" attribute="1" defaultMemberUniqueName="[trade_balance].[Imports].[All]" allUniqueName="[trade_balance].[Imports].[All]" dimensionUniqueName="[trade_balance]" displayFolder="" count="0" memberValueDatatype="5" unbalanced="0"/>
    <cacheHierarchy uniqueName="[trade_balance].[Previous_imports]" caption="Previous_imports" attribute="1" defaultMemberUniqueName="[trade_balance].[Previous_imports].[All]" allUniqueName="[trade_balance].[Previous_imports].[All]" dimensionUniqueName="[trade_balance]" displayFolder="" count="0" memberValueDatatype="5" unbalanced="0"/>
    <cacheHierarchy uniqueName="[trade_balance].[Change_percent_imp]" caption="Change_percent_imp" attribute="1" defaultMemberUniqueName="[trade_balance].[Change_percent_imp].[All]" allUniqueName="[trade_balance].[Change_percent_imp].[All]" dimensionUniqueName="[trade_balance]" displayFolder="" count="0" memberValueDatatype="5" unbalanced="0"/>
    <cacheHierarchy uniqueName="[trade_balance].[Trade_Balance]" caption="Trade_Balance" attribute="1" defaultMemberUniqueName="[trade_balance].[Trade_Balance].[All]" allUniqueName="[trade_balance].[Trade_Balance].[All]" dimensionUniqueName="[trade_balance]" displayFolder="" count="0" memberValueDatatype="5" unbalanced="0"/>
    <cacheHierarchy uniqueName="[Measures].[__XL_Count fdi_of_country]" caption="__XL_Count fdi_of_country" measure="1" displayFolder="" measureGroup="fdi_of_country" count="0" hidden="1"/>
    <cacheHierarchy uniqueName="[Measures].[__XL_Count fdi_of_country 1]" caption="__XL_Count fdi_of_country 1" measure="1" displayFolder="" measureGroup="fdi_of_country 1" count="0" hidden="1"/>
    <cacheHierarchy uniqueName="[Measures].[__XL_Count trade_balance]" caption="__XL_Count trade_balance" measure="1" displayFolder="" measureGroup="trade_balance" count="0" hidden="1"/>
    <cacheHierarchy uniqueName="[Measures].[__No measures defined]" caption="__No measures defined" measure="1" displayFolder="" count="0" hidden="1"/>
    <cacheHierarchy uniqueName="[Measures].[Sum of FY23_24]" caption="Sum of FY23_24" measure="1" displayFolder="" measureGroup="fdi_of_count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FY24_25]" caption="Sum of FY24_25" measure="1" displayFolder="" measureGroup="fdi_of_country 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FY25_26]" caption="Sum of FY25_26" measure="1" displayFolder="" measureGroup="fdi_of_country 1"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Net_change_in_3_yrs]" caption="Sum of Net_change_in_3_yrs" measure="1" displayFolder="" measureGroup="fdi_of_country 1" count="0" hidden="1">
      <extLst>
        <ext xmlns:x15="http://schemas.microsoft.com/office/spreadsheetml/2010/11/main" uri="{B97F6D7D-B522-45F9-BDA1-12C45D357490}">
          <x15:cacheHierarchy aggregatedColumn="15"/>
        </ext>
      </extLst>
    </cacheHierarchy>
    <cacheHierarchy uniqueName="[Measures].[Sum of Exports]" caption="Sum of Exports" measure="1" displayFolder="" measureGroup="trade_balance" count="0" hidden="1">
      <extLst>
        <ext xmlns:x15="http://schemas.microsoft.com/office/spreadsheetml/2010/11/main" uri="{B97F6D7D-B522-45F9-BDA1-12C45D357490}">
          <x15:cacheHierarchy aggregatedColumn="20"/>
        </ext>
      </extLst>
    </cacheHierarchy>
    <cacheHierarchy uniqueName="[Measures].[Sum of Previous_exports]" caption="Sum of Previous_exports" measure="1" displayFolder="" measureGroup="trade_balance" count="0" hidden="1">
      <extLst>
        <ext xmlns:x15="http://schemas.microsoft.com/office/spreadsheetml/2010/11/main" uri="{B97F6D7D-B522-45F9-BDA1-12C45D357490}">
          <x15:cacheHierarchy aggregatedColumn="21"/>
        </ext>
      </extLst>
    </cacheHierarchy>
    <cacheHierarchy uniqueName="[Measures].[Sum of Imports]" caption="Sum of Imports" measure="1" displayFolder="" measureGroup="trade_balance" count="0" hidden="1">
      <extLst>
        <ext xmlns:x15="http://schemas.microsoft.com/office/spreadsheetml/2010/11/main" uri="{B97F6D7D-B522-45F9-BDA1-12C45D357490}">
          <x15:cacheHierarchy aggregatedColumn="23"/>
        </ext>
      </extLst>
    </cacheHierarchy>
    <cacheHierarchy uniqueName="[Measures].[Sum of Trade_Balance]" caption="Sum of Trade_Balance" measure="1" displayFolder="" measureGroup="trade_balance" count="0" hidden="1">
      <extLst>
        <ext xmlns:x15="http://schemas.microsoft.com/office/spreadsheetml/2010/11/main" uri="{B97F6D7D-B522-45F9-BDA1-12C45D357490}">
          <x15:cacheHierarchy aggregatedColumn="26"/>
        </ext>
      </extLst>
    </cacheHierarchy>
  </cacheHierarchies>
  <kpis count="0"/>
  <dimensions count="4">
    <dimension name="fdi_of_country" uniqueName="[fdi_of_country]" caption="fdi_of_country"/>
    <dimension name="fdi_of_country 1" uniqueName="[fdi_of_country 1]" caption="fdi_of_country 1"/>
    <dimension measure="1" name="Measures" uniqueName="[Measures]" caption="Measures"/>
    <dimension name="trade_balance" uniqueName="[trade_balance]" caption="trade_balance"/>
  </dimensions>
  <measureGroups count="3">
    <measureGroup name="fdi_of_country" caption="fdi_of_country"/>
    <measureGroup name="fdi_of_country 1" caption="fdi_of_country 1"/>
    <measureGroup name="trade_balance" caption="trade_balance"/>
  </measureGroups>
  <maps count="4">
    <map measureGroup="0" dimension="0"/>
    <map measureGroup="1" dimension="0"/>
    <map measureGroup="1" dimension="1"/>
    <map measureGroup="2" dimension="3"/>
  </maps>
  <extLst>
    <ext xmlns:x14="http://schemas.microsoft.com/office/spreadsheetml/2009/9/main" uri="{725AE2AE-9491-48be-B2B4-4EB974FC3084}">
      <x14:pivotCacheDefinition pivotCacheId="9159975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x v="0"/>
    <x v="0"/>
    <x v="0"/>
    <x v="0"/>
  </r>
  <r>
    <x v="1"/>
    <x v="1"/>
    <x v="1"/>
    <x v="1"/>
    <x v="1"/>
    <x v="1"/>
    <x v="1"/>
    <x v="1"/>
    <x v="1"/>
  </r>
  <r>
    <x v="2"/>
    <x v="2"/>
    <x v="2"/>
    <x v="2"/>
    <x v="2"/>
    <x v="2"/>
    <x v="2"/>
    <x v="2"/>
    <x v="2"/>
  </r>
  <r>
    <x v="3"/>
    <x v="3"/>
    <x v="3"/>
    <x v="3"/>
    <x v="3"/>
    <x v="3"/>
    <x v="3"/>
    <x v="3"/>
    <x v="3"/>
  </r>
  <r>
    <x v="4"/>
    <x v="4"/>
    <x v="4"/>
    <x v="4"/>
    <x v="4"/>
    <x v="4"/>
    <x v="4"/>
    <x v="4"/>
    <x v="4"/>
  </r>
  <r>
    <x v="5"/>
    <x v="5"/>
    <x v="5"/>
    <x v="5"/>
    <x v="5"/>
    <x v="5"/>
    <x v="5"/>
    <x v="5"/>
    <x v="5"/>
  </r>
  <r>
    <x v="6"/>
    <x v="6"/>
    <x v="6"/>
    <x v="6"/>
    <x v="6"/>
    <x v="6"/>
    <x v="6"/>
    <x v="6"/>
    <x v="6"/>
  </r>
  <r>
    <x v="7"/>
    <x v="7"/>
    <x v="7"/>
    <x v="7"/>
    <x v="7"/>
    <x v="7"/>
    <x v="7"/>
    <x v="7"/>
    <x v="7"/>
  </r>
  <r>
    <x v="8"/>
    <x v="8"/>
    <x v="8"/>
    <x v="8"/>
    <x v="8"/>
    <x v="8"/>
    <x v="8"/>
    <x v="8"/>
    <x v="8"/>
  </r>
  <r>
    <x v="9"/>
    <x v="9"/>
    <x v="9"/>
    <x v="9"/>
    <x v="9"/>
    <x v="9"/>
    <x v="9"/>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n v="1"/>
    <x v="0"/>
    <x v="0"/>
    <x v="0"/>
    <x v="0"/>
    <x v="0"/>
    <x v="0"/>
    <x v="0"/>
    <x v="0"/>
    <x v="0"/>
    <x v="0"/>
    <x v="0"/>
    <x v="0"/>
    <x v="0"/>
    <x v="0"/>
    <x v="0"/>
    <x v="0"/>
    <x v="0"/>
    <x v="0"/>
    <x v="0"/>
    <x v="0"/>
    <x v="0"/>
    <n v="59.26"/>
    <n v="28.78"/>
    <n v="37.31"/>
    <n v="-6.55"/>
  </r>
  <r>
    <n v="2"/>
    <x v="1"/>
    <x v="1"/>
    <x v="1"/>
    <x v="1"/>
    <x v="1"/>
    <x v="1"/>
    <x v="1"/>
    <x v="1"/>
    <x v="1"/>
    <x v="1"/>
    <x v="1"/>
    <x v="1"/>
    <x v="1"/>
    <x v="1"/>
    <x v="1"/>
    <x v="1"/>
    <x v="1"/>
    <x v="1"/>
    <x v="1"/>
    <x v="1"/>
    <x v="1"/>
    <n v="8.52"/>
    <n v="25.4"/>
    <n v="15.23"/>
    <n v="77.09"/>
  </r>
  <r>
    <n v="3"/>
    <x v="2"/>
    <x v="2"/>
    <x v="2"/>
    <x v="2"/>
    <x v="2"/>
    <x v="2"/>
    <x v="2"/>
    <x v="2"/>
    <x v="2"/>
    <x v="2"/>
    <x v="2"/>
    <x v="2"/>
    <x v="2"/>
    <x v="2"/>
    <x v="2"/>
    <x v="2"/>
    <x v="2"/>
    <x v="2"/>
    <x v="2"/>
    <x v="2"/>
    <x v="2"/>
    <n v="2.81"/>
    <n v="11.43"/>
    <n v="29.71"/>
    <n v="23.7"/>
  </r>
  <r>
    <n v="4"/>
    <x v="3"/>
    <x v="3"/>
    <x v="3"/>
    <x v="3"/>
    <x v="3"/>
    <x v="3"/>
    <x v="3"/>
    <x v="3"/>
    <x v="3"/>
    <x v="3"/>
    <x v="3"/>
    <x v="3"/>
    <x v="3"/>
    <x v="3"/>
    <x v="3"/>
    <x v="3"/>
    <x v="3"/>
    <x v="3"/>
    <x v="3"/>
    <x v="3"/>
    <x v="3"/>
    <n v="36.69"/>
    <n v="7.59"/>
    <n v="-24.48"/>
    <n v="74.8"/>
  </r>
  <r>
    <n v="5"/>
    <x v="4"/>
    <x v="4"/>
    <x v="4"/>
    <x v="4"/>
    <x v="4"/>
    <x v="4"/>
    <x v="4"/>
    <x v="4"/>
    <x v="4"/>
    <x v="4"/>
    <x v="4"/>
    <x v="4"/>
    <x v="4"/>
    <x v="4"/>
    <x v="4"/>
    <x v="4"/>
    <x v="4"/>
    <x v="4"/>
    <x v="4"/>
    <x v="4"/>
    <x v="4"/>
    <n v="7.75"/>
    <n v="28.93"/>
    <n v="2.6"/>
    <n v="22.74"/>
  </r>
  <r>
    <n v="6"/>
    <x v="5"/>
    <x v="5"/>
    <x v="5"/>
    <x v="5"/>
    <x v="5"/>
    <x v="5"/>
    <x v="5"/>
    <x v="5"/>
    <x v="5"/>
    <x v="5"/>
    <x v="5"/>
    <x v="5"/>
    <x v="5"/>
    <x v="5"/>
    <x v="5"/>
    <x v="5"/>
    <x v="5"/>
    <x v="5"/>
    <x v="5"/>
    <x v="5"/>
    <x v="5"/>
    <n v="2.17"/>
    <n v="4.4800000000000004"/>
    <n v="90.24"/>
    <n v="14.98"/>
  </r>
  <r>
    <n v="7"/>
    <x v="6"/>
    <x v="6"/>
    <x v="6"/>
    <x v="6"/>
    <x v="6"/>
    <x v="6"/>
    <x v="6"/>
    <x v="6"/>
    <x v="6"/>
    <x v="6"/>
    <x v="6"/>
    <x v="6"/>
    <x v="6"/>
    <x v="6"/>
    <x v="6"/>
    <x v="6"/>
    <x v="6"/>
    <x v="6"/>
    <x v="6"/>
    <x v="6"/>
    <x v="6"/>
    <n v="12.99"/>
    <n v="2.99"/>
    <n v="45.86"/>
    <n v="-34.659999999999997"/>
  </r>
  <r>
    <n v="8"/>
    <x v="7"/>
    <x v="7"/>
    <x v="7"/>
    <x v="7"/>
    <x v="7"/>
    <x v="7"/>
    <x v="7"/>
    <x v="7"/>
    <x v="7"/>
    <x v="7"/>
    <x v="7"/>
    <x v="7"/>
    <x v="7"/>
    <x v="7"/>
    <x v="7"/>
    <x v="7"/>
    <x v="7"/>
    <x v="7"/>
    <x v="7"/>
    <x v="7"/>
    <x v="7"/>
    <n v="3.54"/>
    <n v="11.56"/>
    <n v="13.13"/>
    <n v="23.79"/>
  </r>
  <r>
    <n v="9"/>
    <x v="8"/>
    <x v="8"/>
    <x v="8"/>
    <x v="8"/>
    <x v="8"/>
    <x v="8"/>
    <x v="8"/>
    <x v="8"/>
    <x v="8"/>
    <x v="8"/>
    <x v="8"/>
    <x v="8"/>
    <x v="8"/>
    <x v="8"/>
    <x v="8"/>
    <x v="8"/>
    <x v="8"/>
    <x v="8"/>
    <x v="8"/>
    <x v="8"/>
    <x v="8"/>
    <n v="13.21"/>
    <n v="1.1100000000000001"/>
    <n v="17.88"/>
    <n v="-4.24"/>
  </r>
  <r>
    <n v="10"/>
    <x v="9"/>
    <x v="9"/>
    <x v="9"/>
    <x v="9"/>
    <x v="9"/>
    <x v="9"/>
    <x v="9"/>
    <x v="9"/>
    <x v="9"/>
    <x v="9"/>
    <x v="9"/>
    <x v="9"/>
    <x v="9"/>
    <x v="9"/>
    <x v="9"/>
    <x v="9"/>
    <x v="9"/>
    <x v="9"/>
    <x v="9"/>
    <x v="9"/>
    <x v="9"/>
    <n v="15.99"/>
    <n v="-5.84"/>
    <n v="197.42"/>
    <n v="-68.44"/>
  </r>
  <r>
    <n v="11"/>
    <x v="10"/>
    <x v="10"/>
    <x v="10"/>
    <x v="10"/>
    <x v="10"/>
    <x v="10"/>
    <x v="10"/>
    <x v="10"/>
    <x v="10"/>
    <x v="10"/>
    <x v="10"/>
    <x v="10"/>
    <x v="10"/>
    <x v="10"/>
    <x v="10"/>
    <x v="10"/>
    <x v="10"/>
    <x v="10"/>
    <x v="10"/>
    <x v="10"/>
    <x v="10"/>
    <n v="0.93"/>
    <n v="-13.91"/>
    <n v="19.2"/>
    <n v="13.49"/>
  </r>
  <r>
    <n v="12"/>
    <x v="11"/>
    <x v="11"/>
    <x v="11"/>
    <x v="11"/>
    <x v="11"/>
    <x v="11"/>
    <x v="11"/>
    <x v="11"/>
    <x v="11"/>
    <x v="11"/>
    <x v="11"/>
    <x v="11"/>
    <x v="11"/>
    <x v="11"/>
    <x v="11"/>
    <x v="11"/>
    <x v="11"/>
    <x v="11"/>
    <x v="11"/>
    <x v="11"/>
    <x v="11"/>
    <n v="-0.74"/>
    <n v="-8.0500000000000007"/>
    <n v="-27.68"/>
    <n v="-4.9000000000000004"/>
  </r>
  <r>
    <n v="13"/>
    <x v="12"/>
    <x v="12"/>
    <x v="12"/>
    <x v="12"/>
    <x v="12"/>
    <x v="12"/>
    <x v="12"/>
    <x v="12"/>
    <x v="12"/>
    <x v="12"/>
    <x v="12"/>
    <x v="12"/>
    <x v="12"/>
    <x v="12"/>
    <x v="12"/>
    <x v="12"/>
    <x v="12"/>
    <x v="12"/>
    <x v="12"/>
    <x v="12"/>
    <x v="12"/>
    <n v="15.98"/>
    <n v="7.36"/>
    <n v="8.0299999999999994"/>
    <n v="10.73"/>
  </r>
  <r>
    <n v="14"/>
    <x v="13"/>
    <x v="13"/>
    <x v="13"/>
    <x v="13"/>
    <x v="13"/>
    <x v="13"/>
    <x v="13"/>
    <x v="13"/>
    <x v="13"/>
    <x v="13"/>
    <x v="13"/>
    <x v="13"/>
    <x v="13"/>
    <x v="13"/>
    <x v="13"/>
    <x v="13"/>
    <x v="13"/>
    <x v="13"/>
    <x v="13"/>
    <x v="13"/>
    <x v="13"/>
    <n v="2.58"/>
    <n v="-5.47"/>
    <n v="16.489999999999998"/>
    <n v="4"/>
  </r>
  <r>
    <n v="15"/>
    <x v="14"/>
    <x v="14"/>
    <x v="14"/>
    <x v="14"/>
    <x v="14"/>
    <x v="14"/>
    <x v="14"/>
    <x v="14"/>
    <x v="14"/>
    <x v="14"/>
    <x v="14"/>
    <x v="14"/>
    <x v="14"/>
    <x v="14"/>
    <x v="14"/>
    <x v="14"/>
    <x v="14"/>
    <x v="14"/>
    <x v="14"/>
    <x v="14"/>
    <x v="14"/>
    <n v="11.83"/>
    <n v="9.17"/>
    <n v="16.809999999999999"/>
    <n v="12.42"/>
  </r>
  <r>
    <n v="16"/>
    <x v="15"/>
    <x v="15"/>
    <x v="15"/>
    <x v="15"/>
    <x v="15"/>
    <x v="15"/>
    <x v="15"/>
    <x v="15"/>
    <x v="15"/>
    <x v="1"/>
    <x v="15"/>
    <x v="15"/>
    <x v="15"/>
    <x v="15"/>
    <x v="15"/>
    <x v="15"/>
    <x v="15"/>
    <x v="15"/>
    <x v="15"/>
    <x v="15"/>
    <x v="15"/>
    <n v="8.84"/>
    <n v="2.38"/>
    <n v="-13.1"/>
    <n v="1.59"/>
  </r>
  <r>
    <n v="17"/>
    <x v="16"/>
    <x v="16"/>
    <x v="16"/>
    <x v="16"/>
    <x v="16"/>
    <x v="16"/>
    <x v="16"/>
    <x v="16"/>
    <x v="16"/>
    <x v="15"/>
    <x v="16"/>
    <x v="16"/>
    <x v="16"/>
    <x v="16"/>
    <x v="16"/>
    <x v="16"/>
    <x v="16"/>
    <x v="16"/>
    <x v="16"/>
    <x v="16"/>
    <x v="16"/>
    <n v="-24.01"/>
    <n v="-1.46"/>
    <n v="-28.03"/>
    <n v="-6.6"/>
  </r>
  <r>
    <n v="18"/>
    <x v="17"/>
    <x v="17"/>
    <x v="17"/>
    <x v="17"/>
    <x v="17"/>
    <x v="17"/>
    <x v="17"/>
    <x v="17"/>
    <x v="17"/>
    <x v="16"/>
    <x v="17"/>
    <x v="17"/>
    <x v="17"/>
    <x v="17"/>
    <x v="17"/>
    <x v="17"/>
    <x v="17"/>
    <x v="17"/>
    <x v="17"/>
    <x v="17"/>
    <x v="17"/>
    <n v="60.89"/>
    <n v="7.57"/>
    <n v="93.9"/>
    <n v="3.43"/>
  </r>
  <r>
    <n v="19"/>
    <x v="18"/>
    <x v="18"/>
    <x v="18"/>
    <x v="18"/>
    <x v="18"/>
    <x v="18"/>
    <x v="18"/>
    <x v="18"/>
    <x v="18"/>
    <x v="17"/>
    <x v="18"/>
    <x v="18"/>
    <x v="18"/>
    <x v="18"/>
    <x v="18"/>
    <x v="18"/>
    <x v="18"/>
    <x v="18"/>
    <x v="18"/>
    <x v="18"/>
    <x v="18"/>
    <n v="11.22"/>
    <n v="8.1999999999999993"/>
    <n v="15.22"/>
    <n v="29.15"/>
  </r>
  <r>
    <n v="20"/>
    <x v="19"/>
    <x v="19"/>
    <x v="19"/>
    <x v="19"/>
    <x v="19"/>
    <x v="19"/>
    <x v="19"/>
    <x v="19"/>
    <x v="19"/>
    <x v="18"/>
    <x v="19"/>
    <x v="19"/>
    <x v="19"/>
    <x v="19"/>
    <x v="19"/>
    <x v="19"/>
    <x v="19"/>
    <x v="19"/>
    <x v="19"/>
    <x v="19"/>
    <x v="19"/>
    <n v="5.84"/>
    <n v="1.78"/>
    <n v="25.81"/>
    <n v="54.98"/>
  </r>
  <r>
    <n v="21"/>
    <x v="20"/>
    <x v="20"/>
    <x v="20"/>
    <x v="20"/>
    <x v="20"/>
    <x v="20"/>
    <x v="20"/>
    <x v="20"/>
    <x v="20"/>
    <x v="19"/>
    <x v="20"/>
    <x v="20"/>
    <x v="20"/>
    <x v="20"/>
    <x v="20"/>
    <x v="20"/>
    <x v="20"/>
    <x v="20"/>
    <x v="20"/>
    <x v="20"/>
    <x v="20"/>
    <n v="16.64"/>
    <n v="14.39"/>
    <n v="24.18"/>
    <n v="12.58"/>
  </r>
  <r>
    <n v="22"/>
    <x v="21"/>
    <x v="21"/>
    <x v="21"/>
    <x v="21"/>
    <x v="21"/>
    <x v="21"/>
    <x v="21"/>
    <x v="21"/>
    <x v="21"/>
    <x v="20"/>
    <x v="21"/>
    <x v="21"/>
    <x v="21"/>
    <x v="21"/>
    <x v="21"/>
    <x v="21"/>
    <x v="21"/>
    <x v="21"/>
    <x v="21"/>
    <x v="21"/>
    <x v="21"/>
    <n v="0.21"/>
    <n v="0.17"/>
    <n v="-10.94"/>
    <n v="3.4"/>
  </r>
  <r>
    <n v="23"/>
    <x v="22"/>
    <x v="22"/>
    <x v="22"/>
    <x v="22"/>
    <x v="22"/>
    <x v="22"/>
    <x v="22"/>
    <x v="22"/>
    <x v="22"/>
    <x v="21"/>
    <x v="22"/>
    <x v="22"/>
    <x v="22"/>
    <x v="22"/>
    <x v="22"/>
    <x v="22"/>
    <x v="22"/>
    <x v="22"/>
    <x v="22"/>
    <x v="22"/>
    <x v="22"/>
    <n v="-20.41"/>
    <n v="1.17"/>
    <n v="8.4499999999999993"/>
    <n v="24.2"/>
  </r>
  <r>
    <n v="24"/>
    <x v="23"/>
    <x v="23"/>
    <x v="23"/>
    <x v="23"/>
    <x v="23"/>
    <x v="23"/>
    <x v="23"/>
    <x v="23"/>
    <x v="23"/>
    <x v="22"/>
    <x v="23"/>
    <x v="23"/>
    <x v="23"/>
    <x v="23"/>
    <x v="23"/>
    <x v="23"/>
    <x v="23"/>
    <x v="23"/>
    <x v="23"/>
    <x v="23"/>
    <x v="23"/>
    <n v="36.53"/>
    <n v="-1.52"/>
    <n v="12.83"/>
    <n v="24.15"/>
  </r>
  <r>
    <n v="25"/>
    <x v="24"/>
    <x v="24"/>
    <x v="24"/>
    <x v="24"/>
    <x v="24"/>
    <x v="24"/>
    <x v="24"/>
    <x v="24"/>
    <x v="24"/>
    <x v="23"/>
    <x v="24"/>
    <x v="24"/>
    <x v="24"/>
    <x v="24"/>
    <x v="24"/>
    <x v="24"/>
    <x v="24"/>
    <x v="24"/>
    <x v="24"/>
    <x v="24"/>
    <x v="24"/>
    <n v="-8.35"/>
    <n v="11.93"/>
    <n v="16.89"/>
    <n v="6.31"/>
  </r>
  <r>
    <n v="26"/>
    <x v="25"/>
    <x v="25"/>
    <x v="25"/>
    <x v="25"/>
    <x v="25"/>
    <x v="25"/>
    <x v="25"/>
    <x v="25"/>
    <x v="25"/>
    <x v="24"/>
    <x v="25"/>
    <x v="25"/>
    <x v="25"/>
    <x v="25"/>
    <x v="25"/>
    <x v="25"/>
    <x v="25"/>
    <x v="25"/>
    <x v="25"/>
    <x v="25"/>
    <x v="25"/>
    <n v="-44.91"/>
    <n v="-9"/>
    <n v="20.78"/>
    <n v="43.84"/>
  </r>
  <r>
    <n v="27"/>
    <x v="26"/>
    <x v="26"/>
    <x v="26"/>
    <x v="26"/>
    <x v="26"/>
    <x v="26"/>
    <x v="26"/>
    <x v="26"/>
    <x v="26"/>
    <x v="25"/>
    <x v="26"/>
    <x v="26"/>
    <x v="26"/>
    <x v="26"/>
    <x v="26"/>
    <x v="26"/>
    <x v="26"/>
    <x v="26"/>
    <x v="26"/>
    <x v="26"/>
    <x v="26"/>
    <n v="-23.47"/>
    <n v="-16.670000000000002"/>
    <n v="-0.27"/>
    <n v="-6.88"/>
  </r>
  <r>
    <n v="28"/>
    <x v="27"/>
    <x v="27"/>
    <x v="27"/>
    <x v="27"/>
    <x v="27"/>
    <x v="27"/>
    <x v="27"/>
    <x v="27"/>
    <x v="27"/>
    <x v="26"/>
    <x v="27"/>
    <x v="27"/>
    <x v="27"/>
    <x v="27"/>
    <x v="27"/>
    <x v="27"/>
    <x v="27"/>
    <x v="27"/>
    <x v="27"/>
    <x v="27"/>
    <x v="27"/>
    <n v="26.64"/>
    <n v="10.73"/>
    <n v="24.44"/>
    <n v="24.63"/>
  </r>
  <r>
    <n v="29"/>
    <x v="28"/>
    <x v="28"/>
    <x v="28"/>
    <x v="28"/>
    <x v="28"/>
    <x v="28"/>
    <x v="28"/>
    <x v="28"/>
    <x v="28"/>
    <x v="27"/>
    <x v="28"/>
    <x v="28"/>
    <x v="28"/>
    <x v="28"/>
    <x v="28"/>
    <x v="28"/>
    <x v="28"/>
    <x v="28"/>
    <x v="28"/>
    <x v="28"/>
    <x v="28"/>
    <n v="-0.94"/>
    <n v="1.43"/>
    <n v="-0.57999999999999996"/>
    <n v="-4.4400000000000004"/>
  </r>
  <r>
    <n v="30"/>
    <x v="29"/>
    <x v="29"/>
    <x v="29"/>
    <x v="29"/>
    <x v="29"/>
    <x v="29"/>
    <x v="29"/>
    <x v="29"/>
    <x v="29"/>
    <x v="28"/>
    <x v="29"/>
    <x v="29"/>
    <x v="29"/>
    <x v="29"/>
    <x v="29"/>
    <x v="29"/>
    <x v="29"/>
    <x v="29"/>
    <x v="29"/>
    <x v="29"/>
    <x v="29"/>
    <n v="11.18"/>
    <n v="2.02"/>
    <n v="15.33"/>
    <n v="21.02"/>
  </r>
  <r>
    <n v="31"/>
    <x v="30"/>
    <x v="30"/>
    <x v="30"/>
    <x v="30"/>
    <x v="30"/>
    <x v="30"/>
    <x v="30"/>
    <x v="30"/>
    <x v="30"/>
    <x v="29"/>
    <x v="30"/>
    <x v="30"/>
    <x v="30"/>
    <x v="30"/>
    <x v="30"/>
    <x v="30"/>
    <x v="30"/>
    <x v="30"/>
    <x v="30"/>
    <x v="30"/>
    <x v="30"/>
    <n v="24.64"/>
    <n v="-3.55"/>
    <n v="-7.16"/>
    <n v="75.98"/>
  </r>
  <r>
    <n v="32"/>
    <x v="31"/>
    <x v="31"/>
    <x v="31"/>
    <x v="31"/>
    <x v="31"/>
    <x v="31"/>
    <x v="31"/>
    <x v="31"/>
    <x v="31"/>
    <x v="30"/>
    <x v="31"/>
    <x v="31"/>
    <x v="31"/>
    <x v="31"/>
    <x v="31"/>
    <x v="31"/>
    <x v="31"/>
    <x v="31"/>
    <x v="31"/>
    <x v="31"/>
    <x v="31"/>
    <n v="-10.59"/>
    <n v="-10.94"/>
    <n v="-21.03"/>
    <n v="-6.55"/>
  </r>
  <r>
    <n v="33"/>
    <x v="32"/>
    <x v="32"/>
    <x v="32"/>
    <x v="32"/>
    <x v="32"/>
    <x v="32"/>
    <x v="32"/>
    <x v="32"/>
    <x v="32"/>
    <x v="31"/>
    <x v="32"/>
    <x v="32"/>
    <x v="32"/>
    <x v="32"/>
    <x v="32"/>
    <x v="32"/>
    <x v="32"/>
    <x v="32"/>
    <x v="32"/>
    <x v="32"/>
    <x v="32"/>
    <n v="-8.76"/>
    <n v="-1.74"/>
    <n v="-32.799999999999997"/>
    <n v="8.85"/>
  </r>
  <r>
    <n v="34"/>
    <x v="33"/>
    <x v="33"/>
    <x v="33"/>
    <x v="33"/>
    <x v="33"/>
    <x v="33"/>
    <x v="33"/>
    <x v="33"/>
    <x v="33"/>
    <x v="32"/>
    <x v="33"/>
    <x v="33"/>
    <x v="33"/>
    <x v="33"/>
    <x v="33"/>
    <x v="33"/>
    <x v="33"/>
    <x v="33"/>
    <x v="33"/>
    <x v="33"/>
    <x v="33"/>
    <n v="8.23"/>
    <n v="-1.3"/>
    <n v="23.62"/>
    <n v="-3.05"/>
  </r>
  <r>
    <n v="35"/>
    <x v="34"/>
    <x v="34"/>
    <x v="34"/>
    <x v="34"/>
    <x v="34"/>
    <x v="34"/>
    <x v="34"/>
    <x v="34"/>
    <x v="34"/>
    <x v="33"/>
    <x v="34"/>
    <x v="34"/>
    <x v="34"/>
    <x v="34"/>
    <x v="34"/>
    <x v="34"/>
    <x v="34"/>
    <x v="34"/>
    <x v="34"/>
    <x v="34"/>
    <x v="34"/>
    <n v="4.97"/>
    <n v="9.89"/>
    <n v="14.08"/>
    <n v="23.14"/>
  </r>
  <r>
    <n v="36"/>
    <x v="35"/>
    <x v="35"/>
    <x v="35"/>
    <x v="35"/>
    <x v="35"/>
    <x v="35"/>
    <x v="35"/>
    <x v="35"/>
    <x v="35"/>
    <x v="34"/>
    <x v="35"/>
    <x v="35"/>
    <x v="35"/>
    <x v="35"/>
    <x v="35"/>
    <x v="35"/>
    <x v="35"/>
    <x v="35"/>
    <x v="35"/>
    <x v="35"/>
    <x v="35"/>
    <n v="62.84"/>
    <n v="46.15"/>
    <n v="14.8"/>
    <n v="32.229999999999997"/>
  </r>
  <r>
    <n v="37"/>
    <x v="36"/>
    <x v="36"/>
    <x v="36"/>
    <x v="36"/>
    <x v="36"/>
    <x v="36"/>
    <x v="36"/>
    <x v="0"/>
    <x v="36"/>
    <x v="2"/>
    <x v="36"/>
    <x v="36"/>
    <x v="36"/>
    <x v="36"/>
    <x v="36"/>
    <x v="36"/>
    <x v="36"/>
    <x v="36"/>
    <x v="36"/>
    <x v="36"/>
    <x v="36"/>
    <n v="32.119999999999997"/>
    <n v="19.04"/>
    <n v="8.67"/>
    <n v="1.89"/>
  </r>
  <r>
    <n v="38"/>
    <x v="37"/>
    <x v="37"/>
    <x v="37"/>
    <x v="37"/>
    <x v="37"/>
    <x v="37"/>
    <x v="37"/>
    <x v="36"/>
    <x v="37"/>
    <x v="35"/>
    <x v="37"/>
    <x v="37"/>
    <x v="37"/>
    <x v="37"/>
    <x v="37"/>
    <x v="37"/>
    <x v="37"/>
    <x v="37"/>
    <x v="37"/>
    <x v="37"/>
    <x v="37"/>
    <n v="6.02"/>
    <n v="2.02"/>
    <n v="7.85"/>
    <n v="10.53"/>
  </r>
  <r>
    <n v="39"/>
    <x v="38"/>
    <x v="38"/>
    <x v="38"/>
    <x v="38"/>
    <x v="38"/>
    <x v="38"/>
    <x v="38"/>
    <x v="37"/>
    <x v="38"/>
    <x v="36"/>
    <x v="38"/>
    <x v="38"/>
    <x v="38"/>
    <x v="38"/>
    <x v="38"/>
    <x v="38"/>
    <x v="38"/>
    <x v="38"/>
    <x v="38"/>
    <x v="38"/>
    <x v="38"/>
    <n v="10.53"/>
    <n v="-6.87"/>
    <n v="1.31"/>
    <n v="0.53"/>
  </r>
  <r>
    <n v="40"/>
    <x v="39"/>
    <x v="39"/>
    <x v="39"/>
    <x v="39"/>
    <x v="39"/>
    <x v="39"/>
    <x v="39"/>
    <x v="38"/>
    <x v="39"/>
    <x v="37"/>
    <x v="39"/>
    <x v="39"/>
    <x v="39"/>
    <x v="39"/>
    <x v="39"/>
    <x v="39"/>
    <x v="39"/>
    <x v="39"/>
    <x v="39"/>
    <x v="39"/>
    <x v="39"/>
    <n v="6.26"/>
    <n v="4.37"/>
    <n v="18.37"/>
    <n v="7.37"/>
  </r>
  <r>
    <n v="41"/>
    <x v="40"/>
    <x v="40"/>
    <x v="40"/>
    <x v="40"/>
    <x v="40"/>
    <x v="40"/>
    <x v="40"/>
    <x v="39"/>
    <x v="40"/>
    <x v="38"/>
    <x v="40"/>
    <x v="40"/>
    <x v="40"/>
    <x v="40"/>
    <x v="40"/>
    <x v="40"/>
    <x v="40"/>
    <x v="40"/>
    <x v="40"/>
    <x v="40"/>
    <x v="40"/>
    <n v="-0.46"/>
    <n v="-10.66"/>
    <n v="6.22"/>
    <n v="-8.1999999999999993"/>
  </r>
  <r>
    <n v="42"/>
    <x v="41"/>
    <x v="41"/>
    <x v="41"/>
    <x v="41"/>
    <x v="41"/>
    <x v="41"/>
    <x v="41"/>
    <x v="40"/>
    <x v="41"/>
    <x v="39"/>
    <x v="41"/>
    <x v="41"/>
    <x v="41"/>
    <x v="41"/>
    <x v="41"/>
    <x v="41"/>
    <x v="41"/>
    <x v="41"/>
    <x v="41"/>
    <x v="41"/>
    <x v="41"/>
    <n v="7.17"/>
    <n v="0.88"/>
    <n v="-0.36"/>
    <n v="5.04"/>
  </r>
  <r>
    <n v="43"/>
    <x v="42"/>
    <x v="42"/>
    <x v="42"/>
    <x v="42"/>
    <x v="42"/>
    <x v="42"/>
    <x v="42"/>
    <x v="41"/>
    <x v="42"/>
    <x v="40"/>
    <x v="42"/>
    <x v="42"/>
    <x v="42"/>
    <x v="42"/>
    <x v="42"/>
    <x v="42"/>
    <x v="42"/>
    <x v="42"/>
    <x v="42"/>
    <x v="42"/>
    <x v="42"/>
    <n v="-39.04"/>
    <n v="-38.31"/>
    <n v="3.85"/>
    <n v="11.73"/>
  </r>
  <r>
    <n v="44"/>
    <x v="43"/>
    <x v="43"/>
    <x v="43"/>
    <x v="43"/>
    <x v="43"/>
    <x v="43"/>
    <x v="43"/>
    <x v="42"/>
    <x v="43"/>
    <x v="41"/>
    <x v="43"/>
    <x v="43"/>
    <x v="43"/>
    <x v="43"/>
    <x v="43"/>
    <x v="43"/>
    <x v="43"/>
    <x v="43"/>
    <x v="43"/>
    <x v="43"/>
    <x v="43"/>
    <n v="-4.96"/>
    <n v="0.56999999999999995"/>
    <n v="15.54"/>
    <n v="-8.82"/>
  </r>
  <r>
    <n v="45"/>
    <x v="44"/>
    <x v="44"/>
    <x v="44"/>
    <x v="44"/>
    <x v="44"/>
    <x v="44"/>
    <x v="44"/>
    <x v="43"/>
    <x v="44"/>
    <x v="42"/>
    <x v="44"/>
    <x v="44"/>
    <x v="44"/>
    <x v="44"/>
    <x v="44"/>
    <x v="44"/>
    <x v="44"/>
    <x v="44"/>
    <x v="44"/>
    <x v="44"/>
    <x v="44"/>
    <n v="-6.62"/>
    <n v="34.409999999999997"/>
    <n v="6.44"/>
    <n v="-3.47"/>
  </r>
  <r>
    <n v="46"/>
    <x v="45"/>
    <x v="45"/>
    <x v="45"/>
    <x v="45"/>
    <x v="45"/>
    <x v="45"/>
    <x v="45"/>
    <x v="44"/>
    <x v="45"/>
    <x v="43"/>
    <x v="45"/>
    <x v="45"/>
    <x v="45"/>
    <x v="45"/>
    <x v="45"/>
    <x v="45"/>
    <x v="45"/>
    <x v="45"/>
    <x v="45"/>
    <x v="45"/>
    <x v="45"/>
    <n v="3.75"/>
    <n v="-9.83"/>
    <n v="6.4"/>
    <n v="-0.42"/>
  </r>
  <r>
    <n v="47"/>
    <x v="46"/>
    <x v="46"/>
    <x v="46"/>
    <x v="46"/>
    <x v="46"/>
    <x v="46"/>
    <x v="46"/>
    <x v="45"/>
    <x v="46"/>
    <x v="44"/>
    <x v="46"/>
    <x v="46"/>
    <x v="46"/>
    <x v="46"/>
    <x v="46"/>
    <x v="46"/>
    <x v="46"/>
    <x v="46"/>
    <x v="46"/>
    <x v="46"/>
    <x v="46"/>
    <n v="-29.36"/>
    <n v="-84.39"/>
    <n v="3.51"/>
    <n v="3.1"/>
  </r>
  <r>
    <n v="48"/>
    <x v="47"/>
    <x v="47"/>
    <x v="47"/>
    <x v="47"/>
    <x v="47"/>
    <x v="47"/>
    <x v="47"/>
    <x v="46"/>
    <x v="47"/>
    <x v="45"/>
    <x v="47"/>
    <x v="47"/>
    <x v="47"/>
    <x v="47"/>
    <x v="47"/>
    <x v="47"/>
    <x v="47"/>
    <x v="47"/>
    <x v="47"/>
    <x v="47"/>
    <x v="47"/>
    <n v="0.04"/>
    <n v="-0.9"/>
    <n v="8.39"/>
    <n v="-7.08"/>
  </r>
  <r>
    <n v="49"/>
    <x v="48"/>
    <x v="48"/>
    <x v="48"/>
    <x v="48"/>
    <x v="48"/>
    <x v="48"/>
    <x v="48"/>
    <x v="47"/>
    <x v="48"/>
    <x v="46"/>
    <x v="48"/>
    <x v="48"/>
    <x v="48"/>
    <x v="48"/>
    <x v="48"/>
    <x v="48"/>
    <x v="48"/>
    <x v="48"/>
    <x v="48"/>
    <x v="48"/>
    <x v="48"/>
    <n v="1.07"/>
    <n v="6.57"/>
    <n v="-23.63"/>
    <n v="7.45"/>
  </r>
  <r>
    <n v="50"/>
    <x v="49"/>
    <x v="49"/>
    <x v="49"/>
    <x v="49"/>
    <x v="49"/>
    <x v="49"/>
    <x v="49"/>
    <x v="48"/>
    <x v="49"/>
    <x v="47"/>
    <x v="49"/>
    <x v="49"/>
    <x v="49"/>
    <x v="49"/>
    <x v="49"/>
    <x v="49"/>
    <x v="49"/>
    <x v="49"/>
    <x v="49"/>
    <x v="49"/>
    <x v="49"/>
    <n v="31.16"/>
    <n v="58.01"/>
    <n v="-15.14"/>
    <n v="17.61"/>
  </r>
  <r>
    <n v="51"/>
    <x v="50"/>
    <x v="50"/>
    <x v="50"/>
    <x v="50"/>
    <x v="50"/>
    <x v="50"/>
    <x v="50"/>
    <x v="49"/>
    <x v="50"/>
    <x v="48"/>
    <x v="50"/>
    <x v="50"/>
    <x v="50"/>
    <x v="50"/>
    <x v="50"/>
    <x v="50"/>
    <x v="50"/>
    <x v="50"/>
    <x v="50"/>
    <x v="50"/>
    <x v="50"/>
    <n v="-18.25"/>
    <n v="12.33"/>
    <n v="-4.96"/>
    <n v="14.73"/>
  </r>
  <r>
    <n v="52"/>
    <x v="51"/>
    <x v="51"/>
    <x v="51"/>
    <x v="51"/>
    <x v="51"/>
    <x v="51"/>
    <x v="51"/>
    <x v="50"/>
    <x v="51"/>
    <x v="49"/>
    <x v="51"/>
    <x v="51"/>
    <x v="51"/>
    <x v="51"/>
    <x v="51"/>
    <x v="51"/>
    <x v="51"/>
    <x v="51"/>
    <x v="51"/>
    <x v="51"/>
    <x v="51"/>
    <n v="-6.59"/>
    <n v="-5.53"/>
    <n v="79.33"/>
    <n v="50.07"/>
  </r>
  <r>
    <n v="53"/>
    <x v="52"/>
    <x v="52"/>
    <x v="52"/>
    <x v="52"/>
    <x v="52"/>
    <x v="52"/>
    <x v="52"/>
    <x v="51"/>
    <x v="52"/>
    <x v="50"/>
    <x v="52"/>
    <x v="52"/>
    <x v="52"/>
    <x v="52"/>
    <x v="52"/>
    <x v="52"/>
    <x v="52"/>
    <x v="52"/>
    <x v="52"/>
    <x v="52"/>
    <x v="52"/>
    <n v="28.93"/>
    <n v="44.5"/>
    <n v="7.61"/>
    <n v="-19.64"/>
  </r>
  <r>
    <n v="54"/>
    <x v="53"/>
    <x v="53"/>
    <x v="53"/>
    <x v="53"/>
    <x v="53"/>
    <x v="53"/>
    <x v="53"/>
    <x v="52"/>
    <x v="53"/>
    <x v="51"/>
    <x v="53"/>
    <x v="53"/>
    <x v="53"/>
    <x v="53"/>
    <x v="53"/>
    <x v="53"/>
    <x v="53"/>
    <x v="53"/>
    <x v="53"/>
    <x v="53"/>
    <x v="53"/>
    <n v="0.5"/>
    <n v="-8.42"/>
    <n v="-8.56"/>
    <n v="29.3"/>
  </r>
  <r>
    <n v="55"/>
    <x v="54"/>
    <x v="54"/>
    <x v="54"/>
    <x v="54"/>
    <x v="54"/>
    <x v="54"/>
    <x v="54"/>
    <x v="53"/>
    <x v="54"/>
    <x v="52"/>
    <x v="54"/>
    <x v="54"/>
    <x v="54"/>
    <x v="54"/>
    <x v="54"/>
    <x v="54"/>
    <x v="54"/>
    <x v="54"/>
    <x v="54"/>
    <x v="54"/>
    <x v="54"/>
    <n v="-1.58"/>
    <n v="-2.36"/>
    <n v="-6.75"/>
    <n v="27.58"/>
  </r>
  <r>
    <n v="56"/>
    <x v="55"/>
    <x v="55"/>
    <x v="55"/>
    <x v="55"/>
    <x v="55"/>
    <x v="55"/>
    <x v="55"/>
    <x v="54"/>
    <x v="55"/>
    <x v="53"/>
    <x v="55"/>
    <x v="55"/>
    <x v="55"/>
    <x v="55"/>
    <x v="55"/>
    <x v="55"/>
    <x v="55"/>
    <x v="55"/>
    <x v="55"/>
    <x v="55"/>
    <x v="55"/>
    <n v="15.89"/>
    <n v="-8.69"/>
    <n v="13.32"/>
    <n v="1.42"/>
  </r>
  <r>
    <n v="57"/>
    <x v="56"/>
    <x v="56"/>
    <x v="56"/>
    <x v="56"/>
    <x v="56"/>
    <x v="56"/>
    <x v="56"/>
    <x v="55"/>
    <x v="56"/>
    <x v="54"/>
    <x v="56"/>
    <x v="56"/>
    <x v="56"/>
    <x v="56"/>
    <x v="56"/>
    <x v="56"/>
    <x v="56"/>
    <x v="56"/>
    <x v="56"/>
    <x v="56"/>
    <x v="56"/>
    <n v="11.84"/>
    <n v="-5.89"/>
    <n v="10.76"/>
    <n v="2"/>
  </r>
  <r>
    <n v="58"/>
    <x v="57"/>
    <x v="57"/>
    <x v="57"/>
    <x v="57"/>
    <x v="57"/>
    <x v="57"/>
    <x v="57"/>
    <x v="56"/>
    <x v="57"/>
    <x v="55"/>
    <x v="57"/>
    <x v="57"/>
    <x v="57"/>
    <x v="57"/>
    <x v="57"/>
    <x v="57"/>
    <x v="57"/>
    <x v="57"/>
    <x v="57"/>
    <x v="57"/>
    <x v="57"/>
    <n v="2.04"/>
    <n v="6.13"/>
    <n v="14.09"/>
    <n v="5.88"/>
  </r>
  <r>
    <n v="59"/>
    <x v="58"/>
    <x v="58"/>
    <x v="58"/>
    <x v="58"/>
    <x v="58"/>
    <x v="58"/>
    <x v="58"/>
    <x v="57"/>
    <x v="58"/>
    <x v="56"/>
    <x v="58"/>
    <x v="58"/>
    <x v="58"/>
    <x v="58"/>
    <x v="58"/>
    <x v="58"/>
    <x v="58"/>
    <x v="58"/>
    <x v="58"/>
    <x v="58"/>
    <x v="58"/>
    <n v="5"/>
    <n v="-13.22"/>
    <n v="4.7"/>
    <n v="16.010000000000002"/>
  </r>
  <r>
    <n v="60"/>
    <x v="59"/>
    <x v="59"/>
    <x v="59"/>
    <x v="59"/>
    <x v="59"/>
    <x v="59"/>
    <x v="59"/>
    <x v="58"/>
    <x v="59"/>
    <x v="57"/>
    <x v="59"/>
    <x v="59"/>
    <x v="59"/>
    <x v="59"/>
    <x v="59"/>
    <x v="59"/>
    <x v="59"/>
    <x v="59"/>
    <x v="59"/>
    <x v="59"/>
    <x v="59"/>
    <n v="25.2"/>
    <n v="-16.309999999999999"/>
    <n v="22.8"/>
    <n v="6.26"/>
  </r>
  <r>
    <n v="61"/>
    <x v="60"/>
    <x v="60"/>
    <x v="60"/>
    <x v="60"/>
    <x v="60"/>
    <x v="60"/>
    <x v="60"/>
    <x v="59"/>
    <x v="60"/>
    <x v="58"/>
    <x v="60"/>
    <x v="60"/>
    <x v="60"/>
    <x v="60"/>
    <x v="60"/>
    <x v="60"/>
    <x v="60"/>
    <x v="60"/>
    <x v="60"/>
    <x v="60"/>
    <x v="60"/>
    <n v="14.29"/>
    <n v="-0.8"/>
    <n v="14.56"/>
    <n v="12.01"/>
  </r>
  <r>
    <n v="62"/>
    <x v="61"/>
    <x v="61"/>
    <x v="61"/>
    <x v="61"/>
    <x v="61"/>
    <x v="61"/>
    <x v="61"/>
    <x v="60"/>
    <x v="61"/>
    <x v="59"/>
    <x v="61"/>
    <x v="61"/>
    <x v="61"/>
    <x v="61"/>
    <x v="61"/>
    <x v="61"/>
    <x v="61"/>
    <x v="61"/>
    <x v="61"/>
    <x v="61"/>
    <x v="61"/>
    <n v="6.39"/>
    <n v="-1.57"/>
    <n v="7.18"/>
    <n v="-2"/>
  </r>
  <r>
    <n v="63"/>
    <x v="62"/>
    <x v="62"/>
    <x v="62"/>
    <x v="62"/>
    <x v="62"/>
    <x v="62"/>
    <x v="62"/>
    <x v="61"/>
    <x v="62"/>
    <x v="60"/>
    <x v="62"/>
    <x v="62"/>
    <x v="62"/>
    <x v="62"/>
    <x v="62"/>
    <x v="62"/>
    <x v="62"/>
    <x v="62"/>
    <x v="62"/>
    <x v="62"/>
    <x v="62"/>
    <n v="9.25"/>
    <n v="-1.77"/>
    <n v="-0.91"/>
    <n v="6.52"/>
  </r>
  <r>
    <n v="64"/>
    <x v="63"/>
    <x v="63"/>
    <x v="63"/>
    <x v="63"/>
    <x v="63"/>
    <x v="63"/>
    <x v="63"/>
    <x v="62"/>
    <x v="63"/>
    <x v="61"/>
    <x v="63"/>
    <x v="63"/>
    <x v="63"/>
    <x v="63"/>
    <x v="63"/>
    <x v="63"/>
    <x v="63"/>
    <x v="63"/>
    <x v="63"/>
    <x v="63"/>
    <x v="63"/>
    <n v="0.59"/>
    <n v="-1.7"/>
    <n v="-6.16"/>
    <n v="-7.67"/>
  </r>
  <r>
    <n v="65"/>
    <x v="64"/>
    <x v="64"/>
    <x v="64"/>
    <x v="64"/>
    <x v="64"/>
    <x v="64"/>
    <x v="64"/>
    <x v="63"/>
    <x v="64"/>
    <x v="62"/>
    <x v="64"/>
    <x v="64"/>
    <x v="64"/>
    <x v="64"/>
    <x v="64"/>
    <x v="64"/>
    <x v="64"/>
    <x v="64"/>
    <x v="64"/>
    <x v="64"/>
    <x v="64"/>
    <n v="-4.62"/>
    <n v="27.88"/>
    <n v="-4.43"/>
    <n v="10.24"/>
  </r>
  <r>
    <n v="66"/>
    <x v="65"/>
    <x v="65"/>
    <x v="65"/>
    <x v="65"/>
    <x v="65"/>
    <x v="65"/>
    <x v="65"/>
    <x v="64"/>
    <x v="65"/>
    <x v="63"/>
    <x v="65"/>
    <x v="65"/>
    <x v="44"/>
    <x v="65"/>
    <x v="65"/>
    <x v="65"/>
    <x v="65"/>
    <x v="65"/>
    <x v="65"/>
    <x v="65"/>
    <x v="65"/>
    <n v="17.04"/>
    <n v="22.68"/>
    <n v="4.6100000000000003"/>
    <n v="-21.49"/>
  </r>
  <r>
    <n v="67"/>
    <x v="66"/>
    <x v="66"/>
    <x v="66"/>
    <x v="66"/>
    <x v="66"/>
    <x v="66"/>
    <x v="66"/>
    <x v="65"/>
    <x v="66"/>
    <x v="64"/>
    <x v="66"/>
    <x v="66"/>
    <x v="65"/>
    <x v="66"/>
    <x v="66"/>
    <x v="66"/>
    <x v="66"/>
    <x v="66"/>
    <x v="66"/>
    <x v="66"/>
    <x v="66"/>
    <n v="2.14"/>
    <n v="10.88"/>
    <n v="-24.76"/>
    <n v="9.86"/>
  </r>
  <r>
    <n v="68"/>
    <x v="67"/>
    <x v="67"/>
    <x v="67"/>
    <x v="67"/>
    <x v="67"/>
    <x v="67"/>
    <x v="67"/>
    <x v="66"/>
    <x v="67"/>
    <x v="65"/>
    <x v="67"/>
    <x v="67"/>
    <x v="66"/>
    <x v="67"/>
    <x v="67"/>
    <x v="67"/>
    <x v="67"/>
    <x v="67"/>
    <x v="67"/>
    <x v="67"/>
    <x v="67"/>
    <n v="6.76"/>
    <n v="-8.2899999999999991"/>
    <n v="5.93"/>
    <n v="8.59"/>
  </r>
  <r>
    <n v="69"/>
    <x v="68"/>
    <x v="68"/>
    <x v="68"/>
    <x v="68"/>
    <x v="68"/>
    <x v="68"/>
    <x v="68"/>
    <x v="67"/>
    <x v="68"/>
    <x v="66"/>
    <x v="68"/>
    <x v="68"/>
    <x v="67"/>
    <x v="68"/>
    <x v="68"/>
    <x v="68"/>
    <x v="68"/>
    <x v="68"/>
    <x v="68"/>
    <x v="68"/>
    <x v="68"/>
    <n v="-10.67"/>
    <n v="-0.72"/>
    <n v="-0.27"/>
    <n v="8.23"/>
  </r>
  <r>
    <n v="70"/>
    <x v="69"/>
    <x v="69"/>
    <x v="69"/>
    <x v="69"/>
    <x v="69"/>
    <x v="69"/>
    <x v="69"/>
    <x v="68"/>
    <x v="69"/>
    <x v="67"/>
    <x v="69"/>
    <x v="69"/>
    <x v="68"/>
    <x v="69"/>
    <x v="69"/>
    <x v="69"/>
    <x v="69"/>
    <x v="69"/>
    <x v="69"/>
    <x v="69"/>
    <x v="69"/>
    <n v="3.5"/>
    <n v="2.36"/>
    <n v="23.26"/>
    <n v="42.07"/>
  </r>
  <r>
    <n v="71"/>
    <x v="70"/>
    <x v="70"/>
    <x v="70"/>
    <x v="70"/>
    <x v="70"/>
    <x v="70"/>
    <x v="70"/>
    <x v="69"/>
    <x v="70"/>
    <x v="68"/>
    <x v="70"/>
    <x v="70"/>
    <x v="69"/>
    <x v="70"/>
    <x v="70"/>
    <x v="70"/>
    <x v="70"/>
    <x v="70"/>
    <x v="70"/>
    <x v="70"/>
    <x v="70"/>
    <n v="-8.81"/>
    <n v="-5.39"/>
    <n v="13.38"/>
    <n v="22.99"/>
  </r>
  <r>
    <n v="72"/>
    <x v="71"/>
    <x v="71"/>
    <x v="71"/>
    <x v="71"/>
    <x v="71"/>
    <x v="71"/>
    <x v="71"/>
    <x v="70"/>
    <x v="71"/>
    <x v="69"/>
    <x v="71"/>
    <x v="71"/>
    <x v="70"/>
    <x v="71"/>
    <x v="71"/>
    <x v="71"/>
    <x v="71"/>
    <x v="71"/>
    <x v="71"/>
    <x v="71"/>
    <x v="71"/>
    <n v="-21.99"/>
    <n v="11.52"/>
    <n v="-6.68"/>
    <n v="-9.4700000000000006"/>
  </r>
  <r>
    <n v="73"/>
    <x v="72"/>
    <x v="72"/>
    <x v="72"/>
    <x v="72"/>
    <x v="72"/>
    <x v="72"/>
    <x v="72"/>
    <x v="71"/>
    <x v="72"/>
    <x v="70"/>
    <x v="72"/>
    <x v="72"/>
    <x v="71"/>
    <x v="72"/>
    <x v="72"/>
    <x v="72"/>
    <x v="72"/>
    <x v="72"/>
    <x v="72"/>
    <x v="72"/>
    <x v="72"/>
    <n v="2.42"/>
    <n v="2.2599999999999998"/>
    <n v="2.87"/>
    <n v="9.2799999999999994"/>
  </r>
  <r>
    <n v="74"/>
    <x v="73"/>
    <x v="73"/>
    <x v="73"/>
    <x v="73"/>
    <x v="73"/>
    <x v="73"/>
    <x v="73"/>
    <x v="72"/>
    <x v="73"/>
    <x v="71"/>
    <x v="73"/>
    <x v="73"/>
    <x v="72"/>
    <x v="73"/>
    <x v="73"/>
    <x v="73"/>
    <x v="73"/>
    <x v="73"/>
    <x v="73"/>
    <x v="73"/>
    <x v="73"/>
    <n v="-10.4"/>
    <n v="61.98"/>
    <n v="16.510000000000002"/>
    <n v="18.78"/>
  </r>
  <r>
    <n v="75"/>
    <x v="74"/>
    <x v="74"/>
    <x v="50"/>
    <x v="74"/>
    <x v="74"/>
    <x v="74"/>
    <x v="74"/>
    <x v="73"/>
    <x v="74"/>
    <x v="72"/>
    <x v="74"/>
    <x v="74"/>
    <x v="73"/>
    <x v="74"/>
    <x v="74"/>
    <x v="74"/>
    <x v="74"/>
    <x v="74"/>
    <x v="74"/>
    <x v="74"/>
    <x v="74"/>
    <n v="14.23"/>
    <n v="-1.93"/>
    <n v="-7.81"/>
    <n v="-3.95"/>
  </r>
  <r>
    <n v="76"/>
    <x v="75"/>
    <x v="75"/>
    <x v="74"/>
    <x v="75"/>
    <x v="75"/>
    <x v="75"/>
    <x v="75"/>
    <x v="74"/>
    <x v="75"/>
    <x v="73"/>
    <x v="75"/>
    <x v="75"/>
    <x v="74"/>
    <x v="75"/>
    <x v="75"/>
    <x v="75"/>
    <x v="75"/>
    <x v="75"/>
    <x v="75"/>
    <x v="75"/>
    <x v="75"/>
    <n v="-10.79"/>
    <n v="2.81"/>
    <n v="20.52"/>
    <n v="20.88"/>
  </r>
  <r>
    <n v="77"/>
    <x v="76"/>
    <x v="76"/>
    <x v="75"/>
    <x v="76"/>
    <x v="76"/>
    <x v="76"/>
    <x v="76"/>
    <x v="75"/>
    <x v="76"/>
    <x v="74"/>
    <x v="76"/>
    <x v="76"/>
    <x v="75"/>
    <x v="76"/>
    <x v="76"/>
    <x v="76"/>
    <x v="76"/>
    <x v="76"/>
    <x v="76"/>
    <x v="76"/>
    <x v="76"/>
    <n v="21.16"/>
    <n v="34.159999999999997"/>
    <n v="17.03"/>
    <n v="-8.48"/>
  </r>
  <r>
    <n v="78"/>
    <x v="77"/>
    <x v="77"/>
    <x v="76"/>
    <x v="77"/>
    <x v="77"/>
    <x v="77"/>
    <x v="77"/>
    <x v="76"/>
    <x v="77"/>
    <x v="75"/>
    <x v="77"/>
    <x v="77"/>
    <x v="76"/>
    <x v="77"/>
    <x v="77"/>
    <x v="77"/>
    <x v="77"/>
    <x v="77"/>
    <x v="77"/>
    <x v="77"/>
    <x v="77"/>
    <n v="1.81"/>
    <n v="18.670000000000002"/>
    <n v="5.42"/>
    <n v="33.85"/>
  </r>
  <r>
    <n v="79"/>
    <x v="78"/>
    <x v="78"/>
    <x v="77"/>
    <x v="78"/>
    <x v="78"/>
    <x v="78"/>
    <x v="78"/>
    <x v="77"/>
    <x v="78"/>
    <x v="76"/>
    <x v="78"/>
    <x v="78"/>
    <x v="77"/>
    <x v="78"/>
    <x v="78"/>
    <x v="78"/>
    <x v="78"/>
    <x v="78"/>
    <x v="78"/>
    <x v="78"/>
    <x v="78"/>
    <n v="44.04"/>
    <n v="117.36"/>
    <n v="45.97"/>
    <n v="4.71"/>
  </r>
  <r>
    <n v="80"/>
    <x v="79"/>
    <x v="79"/>
    <x v="78"/>
    <x v="79"/>
    <x v="79"/>
    <x v="79"/>
    <x v="79"/>
    <x v="78"/>
    <x v="79"/>
    <x v="61"/>
    <x v="79"/>
    <x v="79"/>
    <x v="78"/>
    <x v="79"/>
    <x v="79"/>
    <x v="79"/>
    <x v="79"/>
    <x v="79"/>
    <x v="79"/>
    <x v="79"/>
    <x v="79"/>
    <n v="50.5"/>
    <n v="94.85"/>
    <n v="2.0499999999999998"/>
    <n v="13.84"/>
  </r>
  <r>
    <n v="81"/>
    <x v="80"/>
    <x v="80"/>
    <x v="79"/>
    <x v="80"/>
    <x v="80"/>
    <x v="80"/>
    <x v="80"/>
    <x v="79"/>
    <x v="80"/>
    <x v="77"/>
    <x v="80"/>
    <x v="80"/>
    <x v="79"/>
    <x v="80"/>
    <x v="80"/>
    <x v="80"/>
    <x v="80"/>
    <x v="80"/>
    <x v="80"/>
    <x v="80"/>
    <x v="80"/>
    <n v="11.9"/>
    <n v="-2.73"/>
    <n v="9.58"/>
    <n v="13.83"/>
  </r>
  <r>
    <n v="82"/>
    <x v="81"/>
    <x v="81"/>
    <x v="80"/>
    <x v="81"/>
    <x v="81"/>
    <x v="81"/>
    <x v="81"/>
    <x v="80"/>
    <x v="81"/>
    <x v="78"/>
    <x v="81"/>
    <x v="81"/>
    <x v="80"/>
    <x v="81"/>
    <x v="81"/>
    <x v="81"/>
    <x v="81"/>
    <x v="81"/>
    <x v="81"/>
    <x v="81"/>
    <x v="81"/>
    <n v="10.19"/>
    <n v="5.61"/>
    <n v="4.3600000000000003"/>
    <n v="2.65"/>
  </r>
  <r>
    <n v="83"/>
    <x v="82"/>
    <x v="82"/>
    <x v="81"/>
    <x v="82"/>
    <x v="82"/>
    <x v="82"/>
    <x v="82"/>
    <x v="81"/>
    <x v="82"/>
    <x v="79"/>
    <x v="82"/>
    <x v="82"/>
    <x v="81"/>
    <x v="82"/>
    <x v="82"/>
    <x v="82"/>
    <x v="82"/>
    <x v="82"/>
    <x v="82"/>
    <x v="82"/>
    <x v="82"/>
    <n v="11.37"/>
    <n v="9.42"/>
    <n v="12.01"/>
    <n v="15.09"/>
  </r>
  <r>
    <n v="84"/>
    <x v="83"/>
    <x v="83"/>
    <x v="82"/>
    <x v="83"/>
    <x v="83"/>
    <x v="83"/>
    <x v="83"/>
    <x v="82"/>
    <x v="83"/>
    <x v="80"/>
    <x v="83"/>
    <x v="83"/>
    <x v="82"/>
    <x v="83"/>
    <x v="83"/>
    <x v="83"/>
    <x v="83"/>
    <x v="83"/>
    <x v="83"/>
    <x v="83"/>
    <x v="83"/>
    <n v="28"/>
    <n v="22.54"/>
    <n v="11.72"/>
    <n v="18.32"/>
  </r>
  <r>
    <n v="85"/>
    <x v="84"/>
    <x v="84"/>
    <x v="83"/>
    <x v="84"/>
    <x v="84"/>
    <x v="84"/>
    <x v="84"/>
    <x v="83"/>
    <x v="84"/>
    <x v="81"/>
    <x v="84"/>
    <x v="84"/>
    <x v="83"/>
    <x v="84"/>
    <x v="84"/>
    <x v="84"/>
    <x v="84"/>
    <x v="84"/>
    <x v="84"/>
    <x v="84"/>
    <x v="84"/>
    <n v="13.31"/>
    <n v="41.16"/>
    <n v="-3.66"/>
    <n v="8.0500000000000007"/>
  </r>
  <r>
    <n v="86"/>
    <x v="85"/>
    <x v="85"/>
    <x v="84"/>
    <x v="85"/>
    <x v="85"/>
    <x v="85"/>
    <x v="85"/>
    <x v="84"/>
    <x v="85"/>
    <x v="82"/>
    <x v="85"/>
    <x v="85"/>
    <x v="84"/>
    <x v="85"/>
    <x v="85"/>
    <x v="85"/>
    <x v="85"/>
    <x v="85"/>
    <x v="85"/>
    <x v="85"/>
    <x v="85"/>
    <n v="8.42"/>
    <n v="14.68"/>
    <n v="8.5299999999999994"/>
    <n v="13.31"/>
  </r>
  <r>
    <n v="87"/>
    <x v="86"/>
    <x v="86"/>
    <x v="85"/>
    <x v="86"/>
    <x v="86"/>
    <x v="86"/>
    <x v="86"/>
    <x v="85"/>
    <x v="86"/>
    <x v="83"/>
    <x v="86"/>
    <x v="86"/>
    <x v="85"/>
    <x v="86"/>
    <x v="86"/>
    <x v="86"/>
    <x v="86"/>
    <x v="86"/>
    <x v="86"/>
    <x v="86"/>
    <x v="86"/>
    <n v="114.74"/>
    <n v="-76.08"/>
    <n v="9.56"/>
    <n v="-1.82"/>
  </r>
  <r>
    <n v="88"/>
    <x v="87"/>
    <x v="87"/>
    <x v="86"/>
    <x v="87"/>
    <x v="87"/>
    <x v="87"/>
    <x v="87"/>
    <x v="86"/>
    <x v="87"/>
    <x v="84"/>
    <x v="87"/>
    <x v="87"/>
    <x v="86"/>
    <x v="87"/>
    <x v="87"/>
    <x v="87"/>
    <x v="87"/>
    <x v="87"/>
    <x v="87"/>
    <x v="87"/>
    <x v="87"/>
    <n v="5.81"/>
    <n v="-4.3"/>
    <n v="23.48"/>
    <n v="-1.45"/>
  </r>
  <r>
    <n v="89"/>
    <x v="88"/>
    <x v="88"/>
    <x v="87"/>
    <x v="88"/>
    <x v="88"/>
    <x v="88"/>
    <x v="88"/>
    <x v="87"/>
    <x v="88"/>
    <x v="85"/>
    <x v="88"/>
    <x v="88"/>
    <x v="87"/>
    <x v="88"/>
    <x v="88"/>
    <x v="88"/>
    <x v="88"/>
    <x v="88"/>
    <x v="88"/>
    <x v="88"/>
    <x v="88"/>
    <n v="5.91"/>
    <n v="7.47"/>
    <n v="7.12"/>
    <n v="10.91"/>
  </r>
  <r>
    <n v="90"/>
    <x v="89"/>
    <x v="89"/>
    <x v="88"/>
    <x v="89"/>
    <x v="89"/>
    <x v="89"/>
    <x v="89"/>
    <x v="88"/>
    <x v="89"/>
    <x v="86"/>
    <x v="89"/>
    <x v="89"/>
    <x v="88"/>
    <x v="89"/>
    <x v="89"/>
    <x v="89"/>
    <x v="89"/>
    <x v="89"/>
    <x v="89"/>
    <x v="89"/>
    <x v="89"/>
    <n v="-21.32"/>
    <n v="22.54"/>
    <n v="12.95"/>
    <n v="21.07"/>
  </r>
  <r>
    <n v="91"/>
    <x v="90"/>
    <x v="90"/>
    <x v="89"/>
    <x v="90"/>
    <x v="90"/>
    <x v="90"/>
    <x v="90"/>
    <x v="89"/>
    <x v="90"/>
    <x v="87"/>
    <x v="90"/>
    <x v="90"/>
    <x v="89"/>
    <x v="90"/>
    <x v="90"/>
    <x v="90"/>
    <x v="90"/>
    <x v="90"/>
    <x v="90"/>
    <x v="90"/>
    <x v="90"/>
    <n v="1.96"/>
    <n v="15.51"/>
    <n v="11.89"/>
    <n v="12.21"/>
  </r>
  <r>
    <n v="92"/>
    <x v="91"/>
    <x v="91"/>
    <x v="90"/>
    <x v="91"/>
    <x v="91"/>
    <x v="91"/>
    <x v="91"/>
    <x v="90"/>
    <x v="91"/>
    <x v="88"/>
    <x v="91"/>
    <x v="91"/>
    <x v="90"/>
    <x v="91"/>
    <x v="91"/>
    <x v="91"/>
    <x v="91"/>
    <x v="91"/>
    <x v="91"/>
    <x v="91"/>
    <x v="91"/>
    <n v="65.55"/>
    <n v="-7.48"/>
    <n v="-17.93"/>
    <n v="-1.49"/>
  </r>
  <r>
    <n v="93"/>
    <x v="92"/>
    <x v="92"/>
    <x v="91"/>
    <x v="92"/>
    <x v="92"/>
    <x v="92"/>
    <x v="92"/>
    <x v="91"/>
    <x v="92"/>
    <x v="89"/>
    <x v="92"/>
    <x v="92"/>
    <x v="91"/>
    <x v="92"/>
    <x v="92"/>
    <x v="92"/>
    <x v="92"/>
    <x v="92"/>
    <x v="92"/>
    <x v="92"/>
    <x v="92"/>
    <n v="5.82"/>
    <n v="-2.85"/>
    <n v="8.01"/>
    <n v="14.34"/>
  </r>
  <r>
    <n v="94"/>
    <x v="93"/>
    <x v="93"/>
    <x v="92"/>
    <x v="93"/>
    <x v="93"/>
    <x v="93"/>
    <x v="93"/>
    <x v="92"/>
    <x v="93"/>
    <x v="90"/>
    <x v="93"/>
    <x v="93"/>
    <x v="92"/>
    <x v="93"/>
    <x v="93"/>
    <x v="93"/>
    <x v="93"/>
    <x v="93"/>
    <x v="93"/>
    <x v="93"/>
    <x v="93"/>
    <n v="9.1199999999999992"/>
    <n v="5.56"/>
    <n v="5.28"/>
    <n v="17.170000000000002"/>
  </r>
  <r>
    <n v="95"/>
    <x v="94"/>
    <x v="94"/>
    <x v="93"/>
    <x v="94"/>
    <x v="94"/>
    <x v="94"/>
    <x v="94"/>
    <x v="93"/>
    <x v="94"/>
    <x v="91"/>
    <x v="94"/>
    <x v="94"/>
    <x v="93"/>
    <x v="94"/>
    <x v="94"/>
    <x v="94"/>
    <x v="94"/>
    <x v="94"/>
    <x v="94"/>
    <x v="94"/>
    <x v="94"/>
    <n v="1.34"/>
    <n v="-3.79"/>
    <n v="-9.23"/>
    <n v="-3.8"/>
  </r>
  <r>
    <n v="96"/>
    <x v="95"/>
    <x v="95"/>
    <x v="94"/>
    <x v="95"/>
    <x v="95"/>
    <x v="95"/>
    <x v="95"/>
    <x v="94"/>
    <x v="95"/>
    <x v="92"/>
    <x v="95"/>
    <x v="95"/>
    <x v="94"/>
    <x v="95"/>
    <x v="95"/>
    <x v="95"/>
    <x v="95"/>
    <x v="95"/>
    <x v="95"/>
    <x v="95"/>
    <x v="95"/>
    <n v="-52.67"/>
    <n v="10.47"/>
    <n v="-42.15"/>
    <n v="6.16"/>
  </r>
  <r>
    <n v="97"/>
    <x v="96"/>
    <x v="96"/>
    <x v="95"/>
    <x v="96"/>
    <x v="96"/>
    <x v="96"/>
    <x v="96"/>
    <x v="95"/>
    <x v="96"/>
    <x v="93"/>
    <x v="96"/>
    <x v="96"/>
    <x v="95"/>
    <x v="96"/>
    <x v="96"/>
    <x v="96"/>
    <x v="96"/>
    <x v="96"/>
    <x v="96"/>
    <x v="96"/>
    <x v="96"/>
    <n v="-32.78"/>
    <n v="-25.28"/>
    <n v="-20.75"/>
    <n v="-4.32"/>
  </r>
  <r>
    <n v="98"/>
    <x v="97"/>
    <x v="97"/>
    <x v="96"/>
    <x v="97"/>
    <x v="97"/>
    <x v="97"/>
    <x v="97"/>
    <x v="96"/>
    <x v="97"/>
    <x v="40"/>
    <x v="97"/>
    <x v="97"/>
    <x v="96"/>
    <x v="97"/>
    <x v="42"/>
    <x v="97"/>
    <x v="97"/>
    <x v="97"/>
    <x v="97"/>
    <x v="97"/>
    <x v="97"/>
    <n v="-99.67"/>
    <n v="-9.68"/>
    <n v="-36.36"/>
    <n v="1.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2F4E9-BD29-4AC9-B32F-184F2E10A67F}" name="PivotChar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D14" firstHeaderRow="0" firstDataRow="1" firstDataCol="1" rowPageCount="1" colPageCount="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pageFields count="1">
    <pageField fld="4" hier="9" name="[fdi_of_country 1].[Country].[All]" cap="All"/>
  </pageFields>
  <dataFields count="3">
    <dataField name=" FY23_24" fld="1" baseField="0" baseItem="0"/>
    <dataField name=" FY24_25" fld="2" baseField="0" baseItem="0"/>
    <dataField name="FY25_26" fld="3" baseField="0" baseItem="0"/>
  </dataFields>
  <chartFormats count="3">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FY23_24"/>
    <pivotHierarchy dragToData="1" caption=" FY24_25"/>
    <pivotHierarchy dragToData="1" caption="FY25_26"/>
    <pivotHierarchy dragToData="1"/>
    <pivotHierarchy dragToData="1"/>
    <pivotHierarchy dragToData="1"/>
    <pivotHierarchy dragToData="1"/>
    <pivotHierarchy dragToData="1"/>
  </pivotHierarchie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3" cacheId="915997586">
        <x15:pivotRow count="3">
          <x15:c>
            <x15:v>342</x15:v>
          </x15:c>
          <x15:c>
            <x15:v>371</x15:v>
          </x15:c>
          <x15:c>
            <x15:v>2084</x15:v>
          </x15:c>
        </x15:pivotRow>
        <x15:pivotRow count="3">
          <x15:c>
            <x15:v>806</x15:v>
          </x15:c>
          <x15:c>
            <x15:v>1203</x15:v>
          </x15:c>
          <x15:c>
            <x15:v>1412</x15:v>
          </x15:c>
        </x15:pivotRow>
        <x15:pivotRow count="3">
          <x15:c>
            <x15:v>505</x15:v>
          </x15:c>
          <x15:c>
            <x15:v>469</x15:v>
          </x15:c>
          <x15:c>
            <x15:v>495</x15:v>
          </x15:c>
        </x15:pivotRow>
        <x15:pivotRow count="3">
          <x15:c>
            <x15:v>3177</x15:v>
          </x15:c>
          <x15:c>
            <x15:v>2478</x15:v>
          </x15:c>
          <x15:c>
            <x15:v>3745</x15:v>
          </x15:c>
        </x15:pivotRow>
        <x15:pivotRow count="3">
          <x15:c>
            <x15:v>7970</x15:v>
          </x15:c>
          <x15:c>
            <x15:v>8344</x15:v>
          </x15:c>
          <x15:c>
            <x15:v>6576</x15:v>
          </x15:c>
        </x15:pivotRow>
        <x15:pivotRow count="3">
          <x15:c>
            <x15:v>4924</x15:v>
          </x15:c>
          <x15:c>
            <x15:v>4620</x15:v>
          </x15:c>
          <x15:c>
            <x15:v>3374</x15:v>
          </x15:c>
        </x15:pivotRow>
        <x15:pivotRow count="3">
          <x15:c>
            <x15:v>11774</x15:v>
          </x15:c>
          <x15:c>
            <x15:v>14942</x15:v>
          </x15:c>
          <x15:c>
            <x15:v>19802</x15:v>
          </x15:c>
        </x15:pivotRow>
        <x15:pivotRow count="3">
          <x15:c>
            <x15:v>4998</x15:v>
          </x15:c>
          <x15:c>
            <x15:v>5457</x15:v>
          </x15:c>
          <x15:c>
            <x15:v>11171</x15:v>
          </x15:c>
        </x15:pivotRow>
        <x15:pivotRow count="3">
          <x15:c>
            <x15:v>2924</x15:v>
          </x15:c>
          <x15:c>
            <x15:v>4345</x15:v>
          </x15:c>
          <x15:c>
            <x15:v>2738</x15:v>
          </x15:c>
        </x15:pivotRow>
        <x15:pivotRow count="3">
          <x15:c>
            <x15:v>1216</x15:v>
          </x15:c>
          <x15:c>
            <x15:v>795</x15:v>
          </x15:c>
          <x15:c>
            <x15:v>1007</x15:v>
          </x15:c>
        </x15:pivotRow>
        <x15:pivotRow count="3">
          <x15:c>
            <x15:v>38636</x15:v>
          </x15:c>
          <x15:c>
            <x15:v>43024</x15:v>
          </x15:c>
          <x15:c>
            <x15:v>52404</x15:v>
          </x15:c>
        </x15:pivotRow>
      </x15:pivotTableData>
    </ext>
    <ext xmlns:x15="http://schemas.microsoft.com/office/spreadsheetml/2010/11/main" uri="{E67621CE-5B39-4880-91FE-76760E9C1902}">
      <x15:pivotTableUISettings relNeededHidden="1">
        <x15:activeTabTopLevelEntity name="[fdi_of_country]"/>
        <x15:activeTabTopLevelEntity name="[fdi_of_cou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831EBF-D43E-4730-B100-FFDE1A77A3A6}" name="PivotTable2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1:H11" firstHeaderRow="1" firstDataRow="1" firstDataCol="8"/>
  <pivotFields count="9">
    <pivotField axis="axisRow" compact="0" outline="0" showAll="0" sortType="descending" defaultSubtotal="0">
      <items count="10">
        <item x="5"/>
        <item x="6"/>
        <item x="2"/>
        <item x="0"/>
        <item x="3"/>
        <item x="1"/>
        <item x="4"/>
        <item x="9"/>
        <item x="8"/>
        <item x="7"/>
      </items>
    </pivotField>
    <pivotField axis="axisRow" compact="0" outline="0" showAll="0" defaultSubtotal="0">
      <items count="10">
        <item x="7"/>
        <item x="9"/>
        <item x="8"/>
        <item x="5"/>
        <item x="6"/>
        <item x="4"/>
        <item x="3"/>
        <item x="2"/>
        <item x="1"/>
        <item x="0"/>
      </items>
    </pivotField>
    <pivotField axis="axisRow" compact="0" outline="0" showAll="0" defaultSubtotal="0">
      <items count="10">
        <item x="7"/>
        <item x="9"/>
        <item x="5"/>
        <item x="8"/>
        <item x="4"/>
        <item x="6"/>
        <item x="3"/>
        <item x="2"/>
        <item x="1"/>
        <item x="0"/>
      </items>
    </pivotField>
    <pivotField axis="axisRow" compact="0" outline="0" showAll="0" defaultSubtotal="0">
      <items count="10">
        <item x="5"/>
        <item x="4"/>
        <item x="9"/>
        <item x="3"/>
        <item x="1"/>
        <item x="7"/>
        <item x="2"/>
        <item x="0"/>
        <item x="6"/>
        <item x="8"/>
      </items>
    </pivotField>
    <pivotField axis="axisRow" compact="0" outline="0" showAll="0" defaultSubtotal="0">
      <items count="10">
        <item x="9"/>
        <item x="5"/>
        <item x="8"/>
        <item x="7"/>
        <item x="6"/>
        <item x="3"/>
        <item x="4"/>
        <item x="1"/>
        <item x="2"/>
        <item x="0"/>
      </items>
    </pivotField>
    <pivotField axis="axisRow" compact="0" outline="0" showAll="0" defaultSubtotal="0">
      <items count="10">
        <item x="6"/>
        <item x="3"/>
        <item x="1"/>
        <item x="9"/>
        <item x="8"/>
        <item x="5"/>
        <item x="0"/>
        <item x="4"/>
        <item x="2"/>
        <item x="7"/>
      </items>
    </pivotField>
    <pivotField axis="axisRow" compact="0" outline="0" showAll="0" defaultSubtotal="0">
      <items count="10">
        <item x="3"/>
        <item x="1"/>
        <item x="5"/>
        <item x="6"/>
        <item x="9"/>
        <item x="4"/>
        <item x="0"/>
        <item x="8"/>
        <item x="2"/>
        <item x="7"/>
      </items>
    </pivotField>
    <pivotField axis="axisRow" compact="0" outline="0" showAll="0" sortType="ascending" defaultSubtotal="0">
      <items count="10">
        <item x="9"/>
        <item x="7"/>
        <item sd="0" x="5"/>
        <item x="8"/>
        <item x="4"/>
        <item x="6"/>
        <item x="3"/>
        <item x="2"/>
        <item x="1"/>
        <item x="0"/>
      </items>
    </pivotField>
    <pivotField compact="0" outline="0" showAll="0" sortType="ascending" defaultSubtotal="0">
      <items count="10">
        <item x="7"/>
        <item x="9"/>
        <item x="5"/>
        <item x="8"/>
        <item x="6"/>
        <item x="4"/>
        <item x="3"/>
        <item x="2"/>
        <item x="1"/>
        <item x="0"/>
      </items>
    </pivotField>
  </pivotFields>
  <rowFields count="8">
    <field x="0"/>
    <field x="1"/>
    <field x="2"/>
    <field x="3"/>
    <field x="4"/>
    <field x="5"/>
    <field x="6"/>
    <field x="7"/>
  </rowFields>
  <rowItems count="10">
    <i>
      <x/>
      <x v="3"/>
      <x v="2"/>
      <x/>
      <x v="1"/>
      <x v="5"/>
      <x v="2"/>
      <x v="2"/>
    </i>
    <i>
      <x v="1"/>
      <x v="4"/>
      <x v="5"/>
      <x v="8"/>
      <x v="4"/>
      <x/>
      <x v="3"/>
      <x v="5"/>
    </i>
    <i>
      <x v="2"/>
      <x v="7"/>
      <x v="7"/>
      <x v="6"/>
      <x v="8"/>
      <x v="8"/>
      <x v="8"/>
      <x v="7"/>
    </i>
    <i>
      <x v="3"/>
      <x v="9"/>
      <x v="9"/>
      <x v="7"/>
      <x v="9"/>
      <x v="6"/>
      <x v="6"/>
      <x v="9"/>
    </i>
    <i>
      <x v="4"/>
      <x v="6"/>
      <x v="6"/>
      <x v="3"/>
      <x v="5"/>
      <x v="1"/>
      <x/>
      <x v="6"/>
    </i>
    <i>
      <x v="5"/>
      <x v="8"/>
      <x v="8"/>
      <x v="4"/>
      <x v="7"/>
      <x v="2"/>
      <x v="1"/>
      <x v="8"/>
    </i>
    <i>
      <x v="6"/>
      <x v="5"/>
      <x v="4"/>
      <x v="1"/>
      <x v="6"/>
      <x v="7"/>
      <x v="5"/>
      <x v="4"/>
    </i>
    <i>
      <x v="7"/>
      <x v="1"/>
      <x v="1"/>
      <x v="2"/>
      <x/>
      <x v="3"/>
      <x v="4"/>
      <x/>
    </i>
    <i>
      <x v="8"/>
      <x v="2"/>
      <x v="3"/>
      <x v="9"/>
      <x v="2"/>
      <x v="4"/>
      <x v="7"/>
      <x v="3"/>
    </i>
    <i>
      <x v="9"/>
      <x/>
      <x/>
      <x v="5"/>
      <x v="3"/>
      <x v="9"/>
      <x v="9"/>
      <x v="1"/>
    </i>
  </rowItems>
  <colItems count="1">
    <i/>
  </colItems>
  <pivotTableStyleInfo name="PivotStyleMedium9"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EB4135-B59A-48A2-9CDF-3E4A48907D92}"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13" firstHeaderRow="0" firstDataRow="1" firstDataCol="1"/>
  <pivotFields count="26">
    <pivotField showAll="0" defaultSubtotal="0"/>
    <pivotField axis="axisRow" showAll="0" measureFilter="1" defaultSubtotal="0">
      <items count="98">
        <item x="86"/>
        <item x="34"/>
        <item x="75"/>
        <item x="14"/>
        <item x="91"/>
        <item x="60"/>
        <item x="61"/>
        <item x="72"/>
        <item x="41"/>
        <item x="67"/>
        <item x="21"/>
        <item x="56"/>
        <item x="68"/>
        <item x="9"/>
        <item x="89"/>
        <item x="17"/>
        <item x="8"/>
        <item x="73"/>
        <item x="44"/>
        <item x="51"/>
        <item x="3"/>
        <item x="7"/>
        <item x="6"/>
        <item x="83"/>
        <item x="32"/>
        <item x="35"/>
        <item x="30"/>
        <item x="2"/>
        <item x="63"/>
        <item x="92"/>
        <item x="42"/>
        <item x="69"/>
        <item x="64"/>
        <item x="58"/>
        <item x="27"/>
        <item x="71"/>
        <item x="59"/>
        <item x="12"/>
        <item x="76"/>
        <item x="0"/>
        <item x="5"/>
        <item x="53"/>
        <item x="54"/>
        <item x="45"/>
        <item x="1"/>
        <item x="26"/>
        <item x="81"/>
        <item x="37"/>
        <item x="20"/>
        <item x="97"/>
        <item x="94"/>
        <item x="90"/>
        <item x="70"/>
        <item x="74"/>
        <item x="82"/>
        <item x="11"/>
        <item x="88"/>
        <item x="25"/>
        <item x="28"/>
        <item x="79"/>
        <item x="62"/>
        <item x="52"/>
        <item x="47"/>
        <item x="29"/>
        <item x="36"/>
        <item x="38"/>
        <item x="18"/>
        <item x="15"/>
        <item x="19"/>
        <item x="66"/>
        <item x="48"/>
        <item x="4"/>
        <item x="10"/>
        <item x="96"/>
        <item x="46"/>
        <item x="84"/>
        <item x="40"/>
        <item x="22"/>
        <item x="39"/>
        <item x="24"/>
        <item x="87"/>
        <item x="49"/>
        <item x="33"/>
        <item x="57"/>
        <item x="16"/>
        <item x="31"/>
        <item x="78"/>
        <item x="23"/>
        <item x="80"/>
        <item x="93"/>
        <item x="65"/>
        <item x="13"/>
        <item x="85"/>
        <item x="55"/>
        <item x="43"/>
        <item x="50"/>
        <item x="95"/>
        <item x="77"/>
      </items>
    </pivotField>
    <pivotField dataField="1"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98">
        <item x="46"/>
        <item x="65"/>
        <item x="44"/>
        <item x="42"/>
        <item x="96"/>
        <item x="0"/>
        <item x="36"/>
        <item x="78"/>
        <item x="97"/>
        <item x="13"/>
        <item x="90"/>
        <item x="45"/>
        <item x="89"/>
        <item x="5"/>
        <item x="64"/>
        <item x="30"/>
        <item x="50"/>
        <item x="74"/>
        <item x="49"/>
        <item x="79"/>
        <item x="95"/>
        <item x="17"/>
        <item x="4"/>
        <item x="57"/>
        <item x="84"/>
        <item x="35"/>
        <item x="34"/>
        <item x="40"/>
        <item x="48"/>
        <item x="21"/>
        <item x="58"/>
        <item x="91"/>
        <item x="59"/>
        <item x="93"/>
        <item x="43"/>
        <item x="55"/>
        <item x="66"/>
        <item x="52"/>
        <item x="10"/>
        <item x="94"/>
        <item x="15"/>
        <item x="77"/>
        <item x="3"/>
        <item x="18"/>
        <item x="81"/>
        <item x="76"/>
        <item x="33"/>
        <item x="12"/>
        <item x="80"/>
        <item x="69"/>
        <item x="19"/>
        <item x="54"/>
        <item x="20"/>
        <item x="53"/>
        <item x="7"/>
        <item x="23"/>
        <item x="56"/>
        <item x="14"/>
        <item x="11"/>
        <item x="67"/>
        <item x="6"/>
        <item x="24"/>
        <item x="22"/>
        <item x="63"/>
        <item x="92"/>
        <item x="41"/>
        <item x="73"/>
        <item x="47"/>
        <item x="16"/>
        <item x="32"/>
        <item x="68"/>
        <item x="25"/>
        <item x="31"/>
        <item x="27"/>
        <item x="86"/>
        <item x="87"/>
        <item x="1"/>
        <item x="39"/>
        <item x="8"/>
        <item x="88"/>
        <item x="62"/>
        <item x="51"/>
        <item x="2"/>
        <item x="37"/>
        <item x="75"/>
        <item x="60"/>
        <item x="38"/>
        <item x="61"/>
        <item x="72"/>
        <item x="71"/>
        <item x="9"/>
        <item x="28"/>
        <item x="85"/>
        <item x="29"/>
        <item x="70"/>
        <item x="82"/>
        <item x="83"/>
        <item x="26"/>
      </items>
    </pivotField>
    <pivotField showAll="0" defaultSubtotal="0">
      <items count="98">
        <item x="42"/>
        <item x="97"/>
        <item x="15"/>
        <item x="1"/>
        <item x="45"/>
        <item x="44"/>
        <item x="0"/>
        <item x="35"/>
        <item x="66"/>
        <item x="64"/>
        <item x="4"/>
        <item x="65"/>
        <item x="5"/>
        <item x="3"/>
        <item x="90"/>
        <item x="10"/>
        <item x="23"/>
        <item x="13"/>
        <item x="91"/>
        <item x="56"/>
        <item x="18"/>
        <item x="49"/>
        <item x="19"/>
        <item x="9"/>
        <item x="57"/>
        <item x="20"/>
        <item x="36"/>
        <item x="2"/>
        <item x="48"/>
        <item x="50"/>
        <item x="95"/>
        <item x="12"/>
        <item x="40"/>
        <item x="78"/>
        <item x="55"/>
        <item x="41"/>
        <item x="93"/>
        <item x="52"/>
        <item x="62"/>
        <item x="89"/>
        <item x="63"/>
        <item x="94"/>
        <item x="79"/>
        <item x="60"/>
        <item x="22"/>
        <item x="84"/>
        <item x="58"/>
        <item x="17"/>
        <item x="59"/>
        <item x="61"/>
        <item x="77"/>
        <item x="54"/>
        <item x="68"/>
        <item x="34"/>
        <item x="11"/>
        <item x="67"/>
        <item x="76"/>
        <item x="96"/>
        <item x="8"/>
        <item x="81"/>
        <item x="74"/>
        <item x="33"/>
        <item x="21"/>
        <item x="51"/>
        <item x="80"/>
        <item x="32"/>
        <item x="53"/>
        <item x="16"/>
        <item x="92"/>
        <item x="69"/>
        <item x="43"/>
        <item x="29"/>
        <item x="31"/>
        <item x="47"/>
        <item x="46"/>
        <item x="87"/>
        <item x="6"/>
        <item x="39"/>
        <item x="24"/>
        <item x="7"/>
        <item x="72"/>
        <item x="25"/>
        <item x="37"/>
        <item x="75"/>
        <item x="85"/>
        <item x="30"/>
        <item x="73"/>
        <item x="27"/>
        <item x="86"/>
        <item x="88"/>
        <item x="71"/>
        <item x="14"/>
        <item x="38"/>
        <item x="28"/>
        <item x="82"/>
        <item x="83"/>
        <item x="70"/>
        <item x="26"/>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10">
    <i>
      <x v="7"/>
    </i>
    <i>
      <x v="13"/>
    </i>
    <i>
      <x v="23"/>
    </i>
    <i>
      <x v="35"/>
    </i>
    <i>
      <x v="45"/>
    </i>
    <i>
      <x v="52"/>
    </i>
    <i>
      <x v="54"/>
    </i>
    <i>
      <x v="58"/>
    </i>
    <i>
      <x v="63"/>
    </i>
    <i>
      <x v="92"/>
    </i>
  </rowItems>
  <colFields count="1">
    <field x="-2"/>
  </colFields>
  <colItems count="2">
    <i>
      <x/>
    </i>
    <i i="1">
      <x v="1"/>
    </i>
  </colItems>
  <dataFields count="2">
    <dataField name="Sum of Exports_23_24" fld="2" baseField="0" baseItem="0"/>
    <dataField name="Sum of Imports_23_24" fld="4" baseField="0" baseItem="0"/>
  </dataField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AC4213-C9A9-4070-A3DD-FC985B2510F9}" name="PivotTable5"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E41" firstHeaderRow="0" firstDataRow="1"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nonAutoSortDefault="1" defaultAttributeDrillState="1">
      <items count="13">
        <item x="0"/>
        <item x="1"/>
        <item x="2"/>
        <item x="3"/>
        <item x="4"/>
        <item x="5"/>
        <item x="6"/>
        <item x="7"/>
        <item x="8"/>
        <item x="9"/>
        <item x="10"/>
        <item x="11"/>
        <item t="default"/>
      </items>
    </pivotField>
    <pivotField dataField="1" compact="0" outline="0" subtotalTop="0" showAll="0" defaultSubtotal="0"/>
    <pivotField dataField="1" compact="0" outline="0" subtotalTop="0" showAll="0"/>
    <pivotField dataField="1" compact="0" outline="0" subtotalTop="0" showAll="0"/>
  </pivotFields>
  <rowFields count="2">
    <field x="0"/>
    <field x="1"/>
  </rowFields>
  <rowItems count="40">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t="grand">
      <x/>
    </i>
  </rowItems>
  <colFields count="1">
    <field x="-2"/>
  </colFields>
  <colItems count="3">
    <i>
      <x/>
    </i>
    <i i="1">
      <x v="1"/>
    </i>
    <i i="2">
      <x v="2"/>
    </i>
  </colItems>
  <dataFields count="3">
    <dataField name="Sum of Exports" fld="2" baseField="0" baseItem="0"/>
    <dataField name="Sum of Imports" fld="3" baseField="0" baseItem="0"/>
    <dataField name="Sum of Trade_Balance" fld="4" baseField="0" baseItem="0"/>
  </dataFields>
  <formats count="1">
    <format dxfId="0">
      <pivotArea dataOnly="0" labelOnly="1" outline="0" fieldPosition="0">
        <references count="1">
          <reference field="1" count="0"/>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rade_balance">
        <x15:activeTabTopLevelEntity name="[trade_balance]"/>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FCBF9148-D2E7-4086-B542-A1396DAC3542}" autoFormatId="16" applyNumberFormats="0" applyBorderFormats="0" applyFontFormats="0" applyPatternFormats="0" applyAlignmentFormats="0" applyWidthHeightFormats="0">
  <queryTableRefresh nextId="13">
    <queryTableFields count="12">
      <queryTableField id="1" name="Year" tableColumnId="1"/>
      <queryTableField id="2" name="Month" tableColumnId="2"/>
      <queryTableField id="3" name="Foreign_Currency_Assets" tableColumnId="3"/>
      <queryTableField id="4" name="Gold" tableColumnId="4"/>
      <queryTableField id="5" name="Reserve_Tranche_Position" tableColumnId="5"/>
      <queryTableField id="6" name="SDRs" tableColumnId="6"/>
      <queryTableField id="7" name="Total_forex" tableColumnId="7"/>
      <queryTableField id="8" name="previous_month_Forex" tableColumnId="8"/>
      <queryTableField id="9" name="Deviation_in_FDI" tableColumnId="9"/>
      <queryTableField id="10" name="Percent_change" tableColumnId="10"/>
      <queryTableField id="11" name="FDI_Equity_inflow" tableColumnId="11"/>
      <queryTableField id="12" name="FDI_Equity_as_percent_of_totalForex"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1F6F89D-86A8-4EB2-8775-15AF78D5C2A7}" autoFormatId="16" applyNumberFormats="0" applyBorderFormats="0" applyFontFormats="0" applyPatternFormats="0" applyAlignmentFormats="0" applyWidthHeightFormats="0">
  <queryTableRefresh nextId="10">
    <queryTableFields count="9">
      <queryTableField id="1" name="Country" tableColumnId="1"/>
      <queryTableField id="2" name="FY23_24" tableColumnId="2"/>
      <queryTableField id="3" name="FY24_25" tableColumnId="3"/>
      <queryTableField id="4" name="percent_cahnge_from_FY23_24" tableColumnId="4"/>
      <queryTableField id="5" name="FY25_26" tableColumnId="5"/>
      <queryTableField id="6" name="percent_cahnge_from_FY24_25" tableColumnId="6"/>
      <queryTableField id="7" name="Net_change_in_3_yrs" tableColumnId="7"/>
      <queryTableField id="8" name="Total_FDI" tableColumnId="8"/>
      <queryTableField id="9" name="Median FDI" tableColumnId="9"/>
    </queryTableFields>
  </queryTableRefresh>
  <extLst>
    <ext xmlns:x15="http://schemas.microsoft.com/office/spreadsheetml/2010/11/main" uri="{883FBD77-0823-4a55-B5E3-86C4891E6966}">
      <x15:queryTable sourceDataName="Query - fdi_of_country"/>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44917CE0-010F-459A-8653-B1181A237EC0}" autoFormatId="16" applyNumberFormats="0" applyBorderFormats="0" applyFontFormats="0" applyPatternFormats="0" applyAlignmentFormats="0" applyWidthHeightFormats="0">
  <queryTableRefresh nextId="27">
    <queryTableFields count="26">
      <queryTableField id="1" name="S_no" tableColumnId="1"/>
      <queryTableField id="2" name="Commodity" tableColumnId="2"/>
      <queryTableField id="3" name="Exports_23_24" tableColumnId="3"/>
      <queryTableField id="4" name="percent_total_exports_23_24" tableColumnId="4"/>
      <queryTableField id="5" name="Imports_23_24" tableColumnId="5"/>
      <queryTableField id="6" name="percent_total_imports_23_24" tableColumnId="6"/>
      <queryTableField id="7" name="Net_bal_23_24" tableColumnId="7"/>
      <queryTableField id="8" name="Exports_24_25" tableColumnId="8"/>
      <queryTableField id="9" name="percent_total_exports_24_25" tableColumnId="9"/>
      <queryTableField id="10" name="Imports_24_25" tableColumnId="10"/>
      <queryTableField id="11" name="percent_total_imports_24_25" tableColumnId="11"/>
      <queryTableField id="12" name="Net_bal_24_25" tableColumnId="12"/>
      <queryTableField id="13" name="Exports_25_26" tableColumnId="13"/>
      <queryTableField id="14" name="percent_total_exports_25_26" tableColumnId="14"/>
      <queryTableField id="15" name="Imports_25_26" tableColumnId="15"/>
      <queryTableField id="16" name="percent_total_imports_25_26" tableColumnId="16"/>
      <queryTableField id="17" name="Net_bal_25_26" tableColumnId="17"/>
      <queryTableField id="18" name="Total_Exports" tableColumnId="18"/>
      <queryTableField id="19" name="Total_Imports" tableColumnId="19"/>
      <queryTableField id="20" name="Net_bal_3_years" tableColumnId="20"/>
      <queryTableField id="21" name="avg_export_growth_rate" tableColumnId="21"/>
      <queryTableField id="22" name="avg_import_growth_rate" tableColumnId="22"/>
      <queryTableField id="23" name="export_growth_23_24_to_24_25" tableColumnId="23"/>
      <queryTableField id="24" name="export_growth_24_25_to_25_26" tableColumnId="24"/>
      <queryTableField id="25" name="import_growth_23_24_to_24_25" tableColumnId="25"/>
      <queryTableField id="26" name="import_growth_24_25_to_25_26"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5A468CD-4A91-4FA6-9E22-5AA08529993D}" sourceName="Country">
  <pivotTables>
    <pivotTable tabId="9" name="PivotTable27"/>
  </pivotTables>
  <data>
    <tabular pivotCacheId="137004001">
      <items count="10">
        <i x="7" s="1"/>
        <i x="8" s="1"/>
        <i x="9" s="1"/>
        <i x="4" s="1"/>
        <i x="1" s="1"/>
        <i x="3" s="1"/>
        <i x="0" s="1"/>
        <i x="2"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C2C6ECB-509D-4636-88C2-E6C26BCBE557}" sourceName="[trade_balance].[YEAR]">
  <pivotTables>
    <pivotTable tabId="17" name="PivotTable5"/>
  </pivotTables>
  <data>
    <olap pivotCacheId="1429513680">
      <levels count="2">
        <level uniqueName="[trade_balance].[YEAR].[(All)]" sourceCaption="(All)" count="0"/>
        <level uniqueName="[trade_balance].[YEAR].[YEAR]" sourceCaption="YEAR" count="3">
          <ranges>
            <range startItem="0">
              <i n="[trade_balance].[YEAR].&amp;[2023_24]" c="2023_24"/>
              <i n="[trade_balance].[YEAR].&amp;[2024_25]" c="2024_25"/>
              <i n="[trade_balance].[YEAR].&amp;[2025_26]" c="2025_26"/>
            </range>
          </ranges>
        </level>
      </levels>
      <selections count="1">
        <selection n="[trade_balanc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6B70BA0-3B91-4C2D-878E-DB56E44B8D68}" sourceName="[trade_balance].[MONTH]">
  <pivotTables>
    <pivotTable tabId="17" name="PivotTable5"/>
  </pivotTables>
  <data>
    <olap pivotCacheId="1429513680">
      <levels count="2">
        <level uniqueName="[trade_balance].[MONTH].[(All)]" sourceCaption="(All)" count="0"/>
        <level uniqueName="[trade_balance].[MONTH].[MONTH]" sourceCaption="MONTH" count="12">
          <ranges>
            <range startItem="0">
              <i n="[trade_balance].[MONTH].&amp;[APR]" c="APR"/>
              <i n="[trade_balance].[MONTH].&amp;[AUG]" c="AUG"/>
              <i n="[trade_balance].[MONTH].&amp;[DEC]" c="DEC"/>
              <i n="[trade_balance].[MONTH].&amp;[FEB]" c="FEB"/>
              <i n="[trade_balance].[MONTH].&amp;[JAN]" c="JAN"/>
              <i n="[trade_balance].[MONTH].&amp;[JUL]" c="JUL"/>
              <i n="[trade_balance].[MONTH].&amp;[JUN]" c="JUN"/>
              <i n="[trade_balance].[MONTH].&amp;[MAR]" c="MAR"/>
              <i n="[trade_balance].[MONTH].&amp;[MAY]" c="MAY"/>
              <i n="[trade_balance].[MONTH].&amp;[NOV]" c="NOV"/>
              <i n="[trade_balance].[MONTH].&amp;[OCT]" c="OCT"/>
              <i n="[trade_balance].[MONTH].&amp;[SEP]" c="SEP"/>
            </range>
          </ranges>
        </level>
      </levels>
      <selections count="1">
        <selection n="[trade_balanc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E84EE5B-F89D-4C80-A843-E43F6F82A4BE}" sourceName="Year">
  <extLst>
    <x:ext xmlns:x15="http://schemas.microsoft.com/office/spreadsheetml/2010/11/main" uri="{2F2917AC-EB37-4324-AD4E-5DD8C200BD13}">
      <x15:tableSlicerCache tableId="1"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1449D3-DA3D-4E7D-A636-64491040359B}" sourceName="Month">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790FFC8-7B50-49C9-9678-9D9C851C50B4}" cache="Slicer_Year" caption="Year" style="SlicerStyleDark1" rowHeight="251883"/>
  <slicer name="Month 2" xr10:uid="{3AAAD07A-3B08-4DAC-9113-7B8B3FE4E454}" cache="Slicer_Month" caption="Month" startItem="7" style="SlicerStyleDark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D534B88-F137-40EF-9B95-FD6401D87F0E}" cache="Slicer_Country" caption="Country" style="SlicerStyleDark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5597FB4-745E-4F3E-BCEA-B343A14BCD16}" cache="Slicer_YEAR1" caption="YEAR" level="1" rowHeight="251883"/>
  <slicer name="MONTH" xr10:uid="{ABD76AB4-0F8E-4F63-B3D4-BFAB29ED0A8E}" cache="Slicer_MONTH1" caption="MONTH"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0DEDC0-04E4-431F-93AF-A026B8465D88}" name="forex_info" displayName="forex_info" ref="A1:L37" tableType="queryTable" totalsRowShown="0">
  <autoFilter ref="A1:L37" xr:uid="{6E0DEDC0-04E4-431F-93AF-A026B8465D88}"/>
  <tableColumns count="12">
    <tableColumn id="1" xr3:uid="{A6A1B41C-5902-4E48-A133-3105E4B2B99F}" uniqueName="1" name="Year" queryTableFieldId="1" dataDxfId="8"/>
    <tableColumn id="2" xr3:uid="{68904947-8B67-4523-958A-759A0B3A02E7}" uniqueName="2" name="Month" queryTableFieldId="2" dataDxfId="7"/>
    <tableColumn id="3" xr3:uid="{965988F1-6ADD-41B2-A9DE-63B196C3C96D}" uniqueName="3" name="Foreign_Currency_Assets" queryTableFieldId="3" dataDxfId="6"/>
    <tableColumn id="4" xr3:uid="{0911D486-6705-4F0C-A167-49D26BE53BDC}" uniqueName="4" name="Gold" queryTableFieldId="4" dataDxfId="5"/>
    <tableColumn id="5" xr3:uid="{C1C3AB49-A257-4E76-8760-08E8E5FD7223}" uniqueName="5" name="Reserve_Tranche_Position" queryTableFieldId="5" dataDxfId="4"/>
    <tableColumn id="6" xr3:uid="{15747394-F035-437D-835D-B289BBD6B509}" uniqueName="6" name="SDRs" queryTableFieldId="6" dataDxfId="3"/>
    <tableColumn id="7" xr3:uid="{7C5A8856-D1D0-4C09-BE2A-ED35A65210A7}" uniqueName="7" name="Total_forex" queryTableFieldId="7"/>
    <tableColumn id="8" xr3:uid="{5D3B6E63-E312-454E-BAA6-33C0ED3FA21F}" uniqueName="8" name="previous_month_Forex" queryTableFieldId="8"/>
    <tableColumn id="9" xr3:uid="{EDEE74D4-626B-4345-9C7F-CAE22D7AC59E}" uniqueName="9" name="Deviation_in_FDI" queryTableFieldId="9"/>
    <tableColumn id="10" xr3:uid="{06A66632-08D5-4077-9B19-D0EC509AE486}" uniqueName="10" name="Percent_change" queryTableFieldId="10"/>
    <tableColumn id="11" xr3:uid="{FE255840-2C3F-4EAE-BA99-123E3B113417}" uniqueName="11" name="FDI_Equity_inflow" queryTableFieldId="11"/>
    <tableColumn id="12" xr3:uid="{3271D0E9-5C5D-4313-8C18-D5DB4C2A6733}" uniqueName="12" name="FDI_Equity_as_percent_of_totalForex"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9AF7CA-0341-4B63-B25A-D96010BCA49E}" name="fdi_of_country" displayName="fdi_of_country" ref="A1:I11" tableType="queryTable" totalsRowShown="0">
  <autoFilter ref="A1:I11" xr:uid="{FB9AF7CA-0341-4B63-B25A-D96010BCA49E}"/>
  <sortState xmlns:xlrd2="http://schemas.microsoft.com/office/spreadsheetml/2017/richdata2" ref="A2:I11">
    <sortCondition descending="1" ref="H1:H11"/>
  </sortState>
  <tableColumns count="9">
    <tableColumn id="1" xr3:uid="{1C219289-0BCB-40F2-8258-542ACB6E81F7}" uniqueName="1" name="Country" queryTableFieldId="1" dataDxfId="2"/>
    <tableColumn id="2" xr3:uid="{695AE362-AA88-4F07-A1EB-579C70EB6DE0}" uniqueName="2" name="FY23_24" queryTableFieldId="2"/>
    <tableColumn id="3" xr3:uid="{4D58DD23-CC16-4E4C-9102-E9778BBEC8A1}" uniqueName="3" name="FY24_25" queryTableFieldId="3"/>
    <tableColumn id="4" xr3:uid="{F4A143BD-9DBA-4103-B53A-48A375A48A4F}" uniqueName="4" name="percent_cahnge_from_FY23_24" queryTableFieldId="4"/>
    <tableColumn id="5" xr3:uid="{4D6633A8-9830-4C46-83C4-855E00D02F92}" uniqueName="5" name="FY25_26" queryTableFieldId="5"/>
    <tableColumn id="6" xr3:uid="{9B680DA3-2AB3-4B61-8CEA-AE6002896AAA}" uniqueName="6" name="percent_cahnge_from_FY24_25" queryTableFieldId="6"/>
    <tableColumn id="7" xr3:uid="{2F4D0F92-E38F-4325-AAF0-D197FFAD8736}" uniqueName="7" name="Net_change_in_3_yrs" queryTableFieldId="7"/>
    <tableColumn id="8" xr3:uid="{A9FAB7F2-0E29-4F01-8559-0EE6DA5860F7}" uniqueName="8" name="Total_FDI" queryTableFieldId="8"/>
    <tableColumn id="9" xr3:uid="{285334A4-7C85-4B7B-A035-2B980ED487C8}" uniqueName="9" name="Median FDI"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FFC687-6233-4F53-BC0D-31D40F2C90F4}" name="final_trade__2" displayName="final_trade__2" ref="A1:Z99" tableType="queryTable" totalsRowShown="0">
  <autoFilter ref="A1:Z99" xr:uid="{42FFC687-6233-4F53-BC0D-31D40F2C90F4}"/>
  <sortState xmlns:xlrd2="http://schemas.microsoft.com/office/spreadsheetml/2017/richdata2" ref="A2:Z99">
    <sortCondition ref="B1:B99"/>
  </sortState>
  <tableColumns count="26">
    <tableColumn id="1" xr3:uid="{73EC555C-5CCE-469F-95DA-858DBF9B1197}" uniqueName="1" name="S_no" queryTableFieldId="1"/>
    <tableColumn id="2" xr3:uid="{EE81A584-D726-4F59-8735-AF9204973D2B}" uniqueName="2" name="Commodity" queryTableFieldId="2" dataDxfId="1"/>
    <tableColumn id="3" xr3:uid="{4A9EABD1-6A6B-4DC1-B1A0-CB274F2A826F}" uniqueName="3" name="Exports_23_24" queryTableFieldId="3"/>
    <tableColumn id="4" xr3:uid="{9FB44F39-2D8C-41D1-9754-6A4A79BB96CB}" uniqueName="4" name="percent_total_exports_23_24" queryTableFieldId="4"/>
    <tableColumn id="5" xr3:uid="{0EF87D29-4C38-45C3-AD75-40A2FD0808F5}" uniqueName="5" name="Imports_23_24" queryTableFieldId="5"/>
    <tableColumn id="6" xr3:uid="{7B54DFCC-68F6-4943-A991-0CFFF1A01D2A}" uniqueName="6" name="percent_total_imports_23_24" queryTableFieldId="6"/>
    <tableColumn id="7" xr3:uid="{E8C95BC4-D285-4ADC-A328-CA86A804CF8D}" uniqueName="7" name="Net_bal_23_24" queryTableFieldId="7"/>
    <tableColumn id="8" xr3:uid="{0A387A5F-985D-47E6-9766-48AF84DDD651}" uniqueName="8" name="Exports_24_25" queryTableFieldId="8"/>
    <tableColumn id="9" xr3:uid="{FAE8BB77-A3E7-424A-8DF2-E13A071DB8FF}" uniqueName="9" name="percent_total_exports_24_25" queryTableFieldId="9"/>
    <tableColumn id="10" xr3:uid="{AE4451CE-5650-4015-819A-EFAD2CB8EE91}" uniqueName="10" name="Imports_24_25" queryTableFieldId="10"/>
    <tableColumn id="11" xr3:uid="{F61A33F8-E32A-4CE2-8CAF-E9C9A7E13505}" uniqueName="11" name="percent_total_imports_24_25" queryTableFieldId="11"/>
    <tableColumn id="12" xr3:uid="{0C40DEF0-92B9-4FD1-A9F0-06F35E5C79B3}" uniqueName="12" name="Net_bal_24_25" queryTableFieldId="12"/>
    <tableColumn id="13" xr3:uid="{A31B60AF-E3D2-463C-B176-203B384A4F32}" uniqueName="13" name="Exports_25_26" queryTableFieldId="13"/>
    <tableColumn id="14" xr3:uid="{A2D444C2-88AE-4051-9256-B50501D203A2}" uniqueName="14" name="percent_total_exports_25_26" queryTableFieldId="14"/>
    <tableColumn id="15" xr3:uid="{E27BA13B-4C09-4948-B44B-42329CDBA245}" uniqueName="15" name="Imports_25_26" queryTableFieldId="15"/>
    <tableColumn id="16" xr3:uid="{0466219C-B8AA-43A4-8800-00BE3ACF3E33}" uniqueName="16" name="percent_total_imports_25_26" queryTableFieldId="16"/>
    <tableColumn id="17" xr3:uid="{1B0F4FF4-3B70-42E6-9EAE-650DDABB7710}" uniqueName="17" name="Net_bal_25_26" queryTableFieldId="17"/>
    <tableColumn id="18" xr3:uid="{5C88CA47-25F7-4608-91BA-EAD26409C2D9}" uniqueName="18" name="Total_Exports" queryTableFieldId="18"/>
    <tableColumn id="19" xr3:uid="{213BBF36-9DFE-4A6B-9989-1DD92B24BA13}" uniqueName="19" name="Total_Imports" queryTableFieldId="19"/>
    <tableColumn id="20" xr3:uid="{A96E1EEE-D90D-4961-9242-65E803821C09}" uniqueName="20" name="Net_bal_3_years" queryTableFieldId="20"/>
    <tableColumn id="21" xr3:uid="{67B70DC2-6685-4C85-9A1C-29F60230AF3B}" uniqueName="21" name="avg_export_growth_rate" queryTableFieldId="21"/>
    <tableColumn id="22" xr3:uid="{868139D8-D9A2-4EB4-9912-05D304A19143}" uniqueName="22" name="avg_import_growth_rate" queryTableFieldId="22"/>
    <tableColumn id="23" xr3:uid="{A572E442-043A-43D5-BAC0-54B864994F85}" uniqueName="23" name="export_growth_23_24_to_24_25" queryTableFieldId="23"/>
    <tableColumn id="24" xr3:uid="{20AF2564-A7B6-4E60-8D04-5B0A780CC83C}" uniqueName="24" name="export_growth_24_25_to_25_26" queryTableFieldId="24"/>
    <tableColumn id="25" xr3:uid="{B2C1DCE8-8A56-4665-BC2D-3DD069069C09}" uniqueName="25" name="import_growth_23_24_to_24_25" queryTableFieldId="25"/>
    <tableColumn id="26" xr3:uid="{6E2E073E-4600-42A0-B6CB-79DF2A8A095D}" uniqueName="26" name="import_growth_24_25_to_25_26"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0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4EB407-6498-41D6-B578-CC34D8BD812A}">
  <we:reference id="wa200000018" version="25.2.0.0" store="en-US" storeType="OMEX"/>
  <we:alternateReferences>
    <we:reference id="WA200000018" version="25.2.0.0"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0074-03C8-4A39-83F2-CB945ABA0CB2}">
  <dimension ref="A1:L40"/>
  <sheetViews>
    <sheetView zoomScaleNormal="100" workbookViewId="0">
      <selection activeCell="K38" sqref="K38"/>
    </sheetView>
  </sheetViews>
  <sheetFormatPr defaultRowHeight="14.5" x14ac:dyDescent="0.35"/>
  <cols>
    <col min="1" max="1" width="10.26953125" customWidth="1"/>
    <col min="2" max="2" width="10.54296875" style="4" customWidth="1"/>
    <col min="3" max="3" width="24.08984375" style="1" customWidth="1"/>
    <col min="4" max="4" width="11.81640625" style="3" bestFit="1" customWidth="1"/>
    <col min="5" max="5" width="25.1796875" style="2" bestFit="1" customWidth="1"/>
    <col min="6" max="6" width="11.81640625" style="3" bestFit="1" customWidth="1"/>
    <col min="7" max="7" width="12.1796875" bestFit="1" customWidth="1"/>
    <col min="8" max="8" width="22.08984375" bestFit="1" customWidth="1"/>
    <col min="9" max="9" width="17.26953125" bestFit="1" customWidth="1"/>
    <col min="10" max="10" width="16.54296875" bestFit="1" customWidth="1"/>
    <col min="11" max="11" width="18.08984375" bestFit="1" customWidth="1"/>
    <col min="12" max="12" width="34.08984375" bestFit="1" customWidth="1"/>
  </cols>
  <sheetData>
    <row r="1" spans="1:12" x14ac:dyDescent="0.35">
      <c r="A1" t="s">
        <v>0</v>
      </c>
      <c r="B1" s="4" t="s">
        <v>1</v>
      </c>
      <c r="C1" s="1" t="s">
        <v>2</v>
      </c>
      <c r="D1" s="3" t="s">
        <v>3</v>
      </c>
      <c r="E1" s="2" t="s">
        <v>4</v>
      </c>
      <c r="F1" s="3" t="s">
        <v>5</v>
      </c>
      <c r="G1" t="s">
        <v>6</v>
      </c>
      <c r="H1" t="s">
        <v>7</v>
      </c>
      <c r="I1" t="s">
        <v>8</v>
      </c>
      <c r="J1" t="s">
        <v>9</v>
      </c>
      <c r="K1" t="s">
        <v>10</v>
      </c>
      <c r="L1" t="s">
        <v>11</v>
      </c>
    </row>
    <row r="2" spans="1:12" x14ac:dyDescent="0.35">
      <c r="A2" t="s">
        <v>12</v>
      </c>
      <c r="B2" s="4" t="s">
        <v>13</v>
      </c>
      <c r="C2" s="2">
        <v>520929.53125</v>
      </c>
      <c r="D2" s="3">
        <v>45585.44921875</v>
      </c>
      <c r="E2" s="2">
        <v>5172.259765625</v>
      </c>
      <c r="F2" s="3">
        <v>18410.029296875</v>
      </c>
      <c r="G2">
        <v>590097.27</v>
      </c>
      <c r="K2">
        <v>5106</v>
      </c>
      <c r="L2">
        <v>0.87</v>
      </c>
    </row>
    <row r="3" spans="1:12" x14ac:dyDescent="0.35">
      <c r="A3" t="s">
        <v>12</v>
      </c>
      <c r="B3" s="4" t="s">
        <v>14</v>
      </c>
      <c r="C3" s="2">
        <v>522422.375</v>
      </c>
      <c r="D3" s="3">
        <v>44999.05078125</v>
      </c>
      <c r="E3" s="2">
        <v>5097.18994140625</v>
      </c>
      <c r="F3" s="3">
        <v>18197.880859375</v>
      </c>
      <c r="G3">
        <v>590716.5</v>
      </c>
      <c r="H3">
        <v>590097.27</v>
      </c>
      <c r="I3">
        <v>619.23</v>
      </c>
      <c r="J3">
        <v>0.1</v>
      </c>
      <c r="K3">
        <v>2678</v>
      </c>
      <c r="L3">
        <v>0.45</v>
      </c>
    </row>
    <row r="4" spans="1:12" x14ac:dyDescent="0.35">
      <c r="A4" t="s">
        <v>12</v>
      </c>
      <c r="B4" s="4" t="s">
        <v>15</v>
      </c>
      <c r="C4" s="2">
        <v>527978.5625</v>
      </c>
      <c r="D4" s="3">
        <v>43832.28125</v>
      </c>
      <c r="E4" s="2">
        <v>5001.60986328125</v>
      </c>
      <c r="F4" s="3">
        <v>18238.900390625</v>
      </c>
      <c r="G4">
        <v>595051.35</v>
      </c>
      <c r="H4">
        <v>590716.5</v>
      </c>
      <c r="I4">
        <v>4334.8599999999997</v>
      </c>
      <c r="J4">
        <v>0.73</v>
      </c>
      <c r="K4">
        <v>3162</v>
      </c>
      <c r="L4">
        <v>0.53</v>
      </c>
    </row>
    <row r="5" spans="1:12" x14ac:dyDescent="0.35">
      <c r="A5" t="s">
        <v>12</v>
      </c>
      <c r="B5" s="4" t="s">
        <v>16</v>
      </c>
      <c r="C5" s="2">
        <v>537152.375</v>
      </c>
      <c r="D5" s="3">
        <v>45109.48046875</v>
      </c>
      <c r="E5" s="2">
        <v>5184.27001953125</v>
      </c>
      <c r="F5" s="3">
        <v>18364.2890625</v>
      </c>
      <c r="G5">
        <v>605810.41</v>
      </c>
      <c r="H5">
        <v>595051.35</v>
      </c>
      <c r="I5">
        <v>10759.06</v>
      </c>
      <c r="J5">
        <v>1.78</v>
      </c>
      <c r="K5">
        <v>2546</v>
      </c>
      <c r="L5">
        <v>0.42</v>
      </c>
    </row>
    <row r="6" spans="1:12" x14ac:dyDescent="0.35">
      <c r="A6" t="s">
        <v>12</v>
      </c>
      <c r="B6" s="4" t="s">
        <v>17</v>
      </c>
      <c r="C6" s="2">
        <v>529911</v>
      </c>
      <c r="D6" s="3">
        <v>45060</v>
      </c>
      <c r="E6" s="2">
        <v>5072.60009765625</v>
      </c>
      <c r="F6" s="3">
        <v>18197.390625</v>
      </c>
      <c r="G6">
        <v>598240.99</v>
      </c>
      <c r="H6">
        <v>605810.41</v>
      </c>
      <c r="I6">
        <v>-7569.42</v>
      </c>
      <c r="J6">
        <v>-1.27</v>
      </c>
      <c r="K6">
        <v>2908</v>
      </c>
      <c r="L6">
        <v>0.49</v>
      </c>
    </row>
    <row r="7" spans="1:12" x14ac:dyDescent="0.35">
      <c r="A7" t="s">
        <v>12</v>
      </c>
      <c r="B7" s="4" t="s">
        <v>18</v>
      </c>
      <c r="C7" s="2">
        <v>521366.34375</v>
      </c>
      <c r="D7" s="3">
        <v>43341.94140625</v>
      </c>
      <c r="E7" s="2">
        <v>5015.5400390625</v>
      </c>
      <c r="F7" s="3">
        <v>17989.990234375</v>
      </c>
      <c r="G7">
        <v>587713.81999999995</v>
      </c>
      <c r="H7">
        <v>598240.99</v>
      </c>
      <c r="I7">
        <v>-10527.18</v>
      </c>
      <c r="J7">
        <v>-1.79</v>
      </c>
      <c r="K7">
        <v>4089</v>
      </c>
      <c r="L7">
        <v>0.7</v>
      </c>
    </row>
    <row r="8" spans="1:12" x14ac:dyDescent="0.35">
      <c r="A8" t="s">
        <v>12</v>
      </c>
      <c r="B8" s="4" t="s">
        <v>19</v>
      </c>
      <c r="C8" s="2">
        <v>519280.84375</v>
      </c>
      <c r="D8" s="3">
        <v>46448.8203125</v>
      </c>
      <c r="E8" s="2">
        <v>4786.64990234375</v>
      </c>
      <c r="F8" s="3">
        <v>17945.119140625</v>
      </c>
      <c r="G8">
        <v>588461.43000000005</v>
      </c>
      <c r="H8">
        <v>587713.81999999995</v>
      </c>
      <c r="I8">
        <v>747.62</v>
      </c>
      <c r="J8">
        <v>0.13</v>
      </c>
      <c r="K8">
        <v>6338</v>
      </c>
      <c r="L8">
        <v>1.08</v>
      </c>
    </row>
    <row r="9" spans="1:12" x14ac:dyDescent="0.35">
      <c r="A9" t="s">
        <v>12</v>
      </c>
      <c r="B9" s="4" t="s">
        <v>20</v>
      </c>
      <c r="C9" s="2">
        <v>533424.25</v>
      </c>
      <c r="D9" s="3">
        <v>47596.3203125</v>
      </c>
      <c r="E9" s="2">
        <v>4856.39990234375</v>
      </c>
      <c r="F9" s="3">
        <v>18294.69921875</v>
      </c>
      <c r="G9">
        <v>604171.67000000004</v>
      </c>
      <c r="H9">
        <v>588461.43000000005</v>
      </c>
      <c r="I9">
        <v>15710.24</v>
      </c>
      <c r="J9">
        <v>2.6</v>
      </c>
      <c r="K9">
        <v>2837</v>
      </c>
      <c r="L9">
        <v>0.47</v>
      </c>
    </row>
    <row r="10" spans="1:12" x14ac:dyDescent="0.35">
      <c r="A10" t="s">
        <v>12</v>
      </c>
      <c r="B10" s="4" t="s">
        <v>21</v>
      </c>
      <c r="C10" s="2">
        <v>551239.375</v>
      </c>
      <c r="D10" s="3">
        <v>47955.55859375</v>
      </c>
      <c r="E10" s="2">
        <v>4892.16015625</v>
      </c>
      <c r="F10" s="3">
        <v>18365.19921875</v>
      </c>
      <c r="G10">
        <v>622452.29</v>
      </c>
      <c r="H10">
        <v>604171.67000000004</v>
      </c>
      <c r="I10">
        <v>18280.62</v>
      </c>
      <c r="J10">
        <v>2.94</v>
      </c>
      <c r="K10">
        <v>2374</v>
      </c>
      <c r="L10">
        <v>0.38</v>
      </c>
    </row>
    <row r="11" spans="1:12" x14ac:dyDescent="0.35">
      <c r="A11" t="s">
        <v>12</v>
      </c>
      <c r="B11" s="4" t="s">
        <v>22</v>
      </c>
      <c r="C11" s="2">
        <v>548938.875</v>
      </c>
      <c r="D11" s="3">
        <v>47967.44921875</v>
      </c>
      <c r="E11" s="2">
        <v>4849.169921875</v>
      </c>
      <c r="F11" s="3">
        <v>18207.099609375</v>
      </c>
      <c r="G11">
        <v>619962.59</v>
      </c>
      <c r="H11">
        <v>622452.29</v>
      </c>
      <c r="I11">
        <v>-2489.6999999999998</v>
      </c>
      <c r="J11">
        <v>-0.4</v>
      </c>
      <c r="K11">
        <v>5995</v>
      </c>
      <c r="L11">
        <v>0.97</v>
      </c>
    </row>
    <row r="12" spans="1:12" x14ac:dyDescent="0.35">
      <c r="A12" t="s">
        <v>12</v>
      </c>
      <c r="B12" s="4" t="s">
        <v>23</v>
      </c>
      <c r="C12" s="2">
        <v>554152</v>
      </c>
      <c r="D12" s="3">
        <v>48047.83984375</v>
      </c>
      <c r="E12" s="2">
        <v>4801.1201171875</v>
      </c>
      <c r="F12" s="3">
        <v>18164.0390625</v>
      </c>
      <c r="G12">
        <v>625165</v>
      </c>
      <c r="H12">
        <v>619962.59</v>
      </c>
      <c r="I12">
        <v>5202.41</v>
      </c>
      <c r="J12">
        <v>0.83</v>
      </c>
      <c r="K12">
        <v>2649</v>
      </c>
      <c r="L12">
        <v>0.42</v>
      </c>
    </row>
    <row r="13" spans="1:12" x14ac:dyDescent="0.35">
      <c r="A13" t="s">
        <v>12</v>
      </c>
      <c r="B13" s="4" t="s">
        <v>24</v>
      </c>
      <c r="C13" s="2">
        <v>570950.1875</v>
      </c>
      <c r="D13" s="3">
        <v>52674.828125</v>
      </c>
      <c r="E13" s="2">
        <v>4661.97998046875</v>
      </c>
      <c r="F13" s="3">
        <v>18131.849609375</v>
      </c>
      <c r="G13">
        <v>646418.85</v>
      </c>
      <c r="H13">
        <v>625165</v>
      </c>
      <c r="I13">
        <v>21253.85</v>
      </c>
      <c r="J13">
        <v>3.29</v>
      </c>
      <c r="K13">
        <v>3742</v>
      </c>
      <c r="L13">
        <v>0.57999999999999996</v>
      </c>
    </row>
    <row r="14" spans="1:12" x14ac:dyDescent="0.35">
      <c r="A14" t="s">
        <v>25</v>
      </c>
      <c r="B14" s="4" t="s">
        <v>13</v>
      </c>
      <c r="C14" s="2">
        <v>561777.6875</v>
      </c>
      <c r="D14" s="3">
        <v>55888.390625</v>
      </c>
      <c r="E14" s="2">
        <v>4485.580078125</v>
      </c>
      <c r="F14" s="3">
        <v>18049</v>
      </c>
      <c r="G14">
        <v>640200.66</v>
      </c>
      <c r="H14">
        <v>646418.85</v>
      </c>
      <c r="I14">
        <v>-6218.19</v>
      </c>
      <c r="J14">
        <v>-0.97</v>
      </c>
      <c r="K14">
        <v>4910</v>
      </c>
      <c r="L14">
        <v>0.77</v>
      </c>
    </row>
    <row r="15" spans="1:12" x14ac:dyDescent="0.35">
      <c r="A15" t="s">
        <v>25</v>
      </c>
      <c r="B15" s="4" t="s">
        <v>14</v>
      </c>
      <c r="C15" s="2">
        <v>572563.9375</v>
      </c>
      <c r="D15" s="3">
        <v>56501.2890625</v>
      </c>
      <c r="E15" s="2">
        <v>4326.47021484375</v>
      </c>
      <c r="F15" s="3">
        <v>18118.310546875</v>
      </c>
      <c r="G15">
        <v>651510.01</v>
      </c>
      <c r="H15">
        <v>640200.66</v>
      </c>
      <c r="I15">
        <v>11309.35</v>
      </c>
      <c r="J15">
        <v>1.74</v>
      </c>
      <c r="K15">
        <v>5853</v>
      </c>
      <c r="L15">
        <v>0.9</v>
      </c>
    </row>
    <row r="16" spans="1:12" x14ac:dyDescent="0.35">
      <c r="A16" t="s">
        <v>25</v>
      </c>
      <c r="B16" s="4" t="s">
        <v>15</v>
      </c>
      <c r="C16" s="2">
        <v>572881.25</v>
      </c>
      <c r="D16" s="3">
        <v>56528.4296875</v>
      </c>
      <c r="E16" s="2">
        <v>4573.259765625</v>
      </c>
      <c r="F16" s="3">
        <v>18014.330078125</v>
      </c>
      <c r="G16">
        <v>651997.27</v>
      </c>
      <c r="H16">
        <v>651510.01</v>
      </c>
      <c r="I16">
        <v>487.26</v>
      </c>
      <c r="J16">
        <v>7.0000000000000007E-2</v>
      </c>
      <c r="K16">
        <v>5415</v>
      </c>
      <c r="L16">
        <v>0.83</v>
      </c>
    </row>
    <row r="17" spans="1:12" x14ac:dyDescent="0.35">
      <c r="A17" t="s">
        <v>25</v>
      </c>
      <c r="B17" s="4" t="s">
        <v>16</v>
      </c>
      <c r="C17" s="2">
        <v>589315.6875</v>
      </c>
      <c r="D17" s="3">
        <v>58524.5390625</v>
      </c>
      <c r="E17" s="2">
        <v>4618.740234375</v>
      </c>
      <c r="F17" s="3">
        <v>18156.119140625</v>
      </c>
      <c r="G17">
        <v>670615.09</v>
      </c>
      <c r="H17">
        <v>651997.27</v>
      </c>
      <c r="I17">
        <v>18617.82</v>
      </c>
      <c r="J17">
        <v>2.78</v>
      </c>
      <c r="K17">
        <v>3213</v>
      </c>
      <c r="L17">
        <v>0.48</v>
      </c>
    </row>
    <row r="18" spans="1:12" x14ac:dyDescent="0.35">
      <c r="A18" t="s">
        <v>25</v>
      </c>
      <c r="B18" s="4" t="s">
        <v>17</v>
      </c>
      <c r="C18" s="2">
        <v>597414.9375</v>
      </c>
      <c r="D18" s="3">
        <v>61742.2109375</v>
      </c>
      <c r="E18" s="2">
        <v>4622.14013671875</v>
      </c>
      <c r="F18" s="3">
        <v>18451.470703125</v>
      </c>
      <c r="G18">
        <v>682230.76</v>
      </c>
      <c r="H18">
        <v>670615.09</v>
      </c>
      <c r="I18">
        <v>11615.67</v>
      </c>
      <c r="J18">
        <v>1.7</v>
      </c>
      <c r="K18">
        <v>6393</v>
      </c>
      <c r="L18">
        <v>0.94</v>
      </c>
    </row>
    <row r="19" spans="1:12" x14ac:dyDescent="0.35">
      <c r="A19" t="s">
        <v>25</v>
      </c>
      <c r="B19" s="4" t="s">
        <v>18</v>
      </c>
      <c r="C19" s="2">
        <v>617075</v>
      </c>
      <c r="D19" s="3">
        <v>65749.4921875</v>
      </c>
      <c r="E19" s="2">
        <v>4391.47998046875</v>
      </c>
      <c r="F19" s="3">
        <v>18566.30078125</v>
      </c>
      <c r="G19">
        <v>705782.27</v>
      </c>
      <c r="H19">
        <v>682230.76</v>
      </c>
      <c r="I19">
        <v>23551.51</v>
      </c>
      <c r="J19">
        <v>3.34</v>
      </c>
      <c r="K19">
        <v>4006</v>
      </c>
      <c r="L19">
        <v>0.56999999999999995</v>
      </c>
    </row>
    <row r="20" spans="1:12" x14ac:dyDescent="0.35">
      <c r="A20" t="s">
        <v>25</v>
      </c>
      <c r="B20" s="4" t="s">
        <v>19</v>
      </c>
      <c r="C20" s="2">
        <v>589849.3125</v>
      </c>
      <c r="D20" s="3">
        <v>69750.5703125</v>
      </c>
      <c r="E20" s="2">
        <v>4311.3798828125</v>
      </c>
      <c r="F20" s="3">
        <v>18218.6796875</v>
      </c>
      <c r="G20">
        <v>682129.94</v>
      </c>
      <c r="H20">
        <v>705782.27</v>
      </c>
      <c r="I20">
        <v>-23652.33</v>
      </c>
      <c r="J20">
        <v>-3.47</v>
      </c>
      <c r="K20">
        <v>4223</v>
      </c>
      <c r="L20">
        <v>0.62</v>
      </c>
    </row>
    <row r="21" spans="1:12" x14ac:dyDescent="0.35">
      <c r="A21" t="s">
        <v>25</v>
      </c>
      <c r="B21" s="4" t="s">
        <v>20</v>
      </c>
      <c r="C21" s="2">
        <v>569960.0625</v>
      </c>
      <c r="D21" s="3">
        <v>67212.0078125</v>
      </c>
      <c r="E21" s="2">
        <v>4254.009765625</v>
      </c>
      <c r="F21" s="3">
        <v>18006.779296875</v>
      </c>
      <c r="G21">
        <v>659432.86</v>
      </c>
      <c r="H21">
        <v>682129.94</v>
      </c>
      <c r="I21">
        <v>-22697.08</v>
      </c>
      <c r="J21">
        <v>-3.44</v>
      </c>
      <c r="K21">
        <v>2285</v>
      </c>
      <c r="L21">
        <v>0.35</v>
      </c>
    </row>
    <row r="22" spans="1:12" x14ac:dyDescent="0.35">
      <c r="A22" t="s">
        <v>25</v>
      </c>
      <c r="B22" s="4" t="s">
        <v>21</v>
      </c>
      <c r="C22" s="2">
        <v>547454.0625</v>
      </c>
      <c r="D22" s="3">
        <v>66148.453125</v>
      </c>
      <c r="E22" s="2">
        <v>4217.39013671875</v>
      </c>
      <c r="F22" s="3">
        <v>17881.51953125</v>
      </c>
      <c r="G22">
        <v>635701.43000000005</v>
      </c>
      <c r="H22">
        <v>659432.86</v>
      </c>
      <c r="I22">
        <v>-23731.43</v>
      </c>
      <c r="J22">
        <v>-3.73</v>
      </c>
      <c r="K22">
        <v>4374</v>
      </c>
      <c r="L22">
        <v>0.69</v>
      </c>
    </row>
    <row r="23" spans="1:12" x14ac:dyDescent="0.35">
      <c r="A23" t="s">
        <v>25</v>
      </c>
      <c r="B23" s="4" t="s">
        <v>22</v>
      </c>
      <c r="C23" s="2">
        <v>537684.5</v>
      </c>
      <c r="D23" s="3">
        <v>70892.84375</v>
      </c>
      <c r="E23" s="2">
        <v>4140.60009765625</v>
      </c>
      <c r="F23" s="3">
        <v>17889.470703125</v>
      </c>
      <c r="G23">
        <v>630607.41</v>
      </c>
      <c r="H23">
        <v>635701.43000000005</v>
      </c>
      <c r="I23">
        <v>-5094.01</v>
      </c>
      <c r="J23">
        <v>-0.81</v>
      </c>
      <c r="K23">
        <v>3363</v>
      </c>
      <c r="L23">
        <v>0.53</v>
      </c>
    </row>
    <row r="24" spans="1:12" x14ac:dyDescent="0.35">
      <c r="A24" t="s">
        <v>25</v>
      </c>
      <c r="B24" s="4" t="s">
        <v>23</v>
      </c>
      <c r="C24" s="2">
        <v>543349.5625</v>
      </c>
      <c r="D24" s="3">
        <v>73272.2578125</v>
      </c>
      <c r="E24" s="2">
        <v>4078.469970703125</v>
      </c>
      <c r="F24" s="3">
        <v>17998.099609375</v>
      </c>
      <c r="G24">
        <v>638698.39</v>
      </c>
      <c r="H24">
        <v>630607.41</v>
      </c>
      <c r="I24">
        <v>8090.98</v>
      </c>
      <c r="J24">
        <v>1.27</v>
      </c>
      <c r="K24">
        <v>2831</v>
      </c>
      <c r="L24">
        <v>0.44</v>
      </c>
    </row>
    <row r="25" spans="1:12" x14ac:dyDescent="0.35">
      <c r="A25" t="s">
        <v>25</v>
      </c>
      <c r="B25" s="4" t="s">
        <v>24</v>
      </c>
      <c r="C25" s="2">
        <v>567557.4375</v>
      </c>
      <c r="D25" s="3">
        <v>78176.3515625</v>
      </c>
      <c r="E25" s="2">
        <v>4423.27978515625</v>
      </c>
      <c r="F25" s="3">
        <v>18169.150390625</v>
      </c>
      <c r="G25">
        <v>668326.22</v>
      </c>
      <c r="H25">
        <v>638698.39</v>
      </c>
      <c r="I25">
        <v>29627.83</v>
      </c>
      <c r="J25">
        <v>4.43</v>
      </c>
      <c r="K25">
        <v>3152</v>
      </c>
      <c r="L25">
        <v>0.47</v>
      </c>
    </row>
    <row r="26" spans="1:12" x14ac:dyDescent="0.35">
      <c r="A26" t="s">
        <v>26</v>
      </c>
      <c r="B26" s="4" t="s">
        <v>13</v>
      </c>
      <c r="C26" s="2">
        <v>581195</v>
      </c>
      <c r="D26" s="3">
        <v>84117.96875</v>
      </c>
      <c r="E26" s="2">
        <v>4515.4599609375</v>
      </c>
      <c r="F26" s="3">
        <v>18599.939453125</v>
      </c>
      <c r="G26">
        <v>688428.37</v>
      </c>
      <c r="H26">
        <v>668326.22</v>
      </c>
      <c r="I26">
        <v>20102.150000000001</v>
      </c>
      <c r="J26">
        <v>2.92</v>
      </c>
      <c r="K26">
        <v>6559</v>
      </c>
      <c r="L26">
        <v>0.95</v>
      </c>
    </row>
    <row r="27" spans="1:12" x14ac:dyDescent="0.35">
      <c r="A27" t="s">
        <v>26</v>
      </c>
      <c r="B27" s="4" t="s">
        <v>14</v>
      </c>
      <c r="C27" s="2">
        <v>584899</v>
      </c>
      <c r="D27" s="3">
        <v>83418.109375</v>
      </c>
      <c r="E27" s="2">
        <v>4395.35986328125</v>
      </c>
      <c r="F27" s="3">
        <v>18596.529296875</v>
      </c>
      <c r="G27">
        <v>691309</v>
      </c>
      <c r="H27">
        <v>688428.37</v>
      </c>
      <c r="I27">
        <v>2880.63</v>
      </c>
      <c r="J27">
        <v>0.42</v>
      </c>
      <c r="K27">
        <v>5157</v>
      </c>
      <c r="L27">
        <v>0.75</v>
      </c>
    </row>
    <row r="28" spans="1:12" x14ac:dyDescent="0.35">
      <c r="A28" t="s">
        <v>26</v>
      </c>
      <c r="B28" s="4" t="s">
        <v>15</v>
      </c>
      <c r="C28" s="2">
        <v>591354.375</v>
      </c>
      <c r="D28" s="3">
        <v>83308.1796875</v>
      </c>
      <c r="E28" s="2">
        <v>4630.2099609375</v>
      </c>
      <c r="F28" s="3">
        <v>18825.01953125</v>
      </c>
      <c r="G28">
        <v>698117.78</v>
      </c>
      <c r="H28">
        <v>691309</v>
      </c>
      <c r="I28">
        <v>6808.79</v>
      </c>
      <c r="J28">
        <v>0.98</v>
      </c>
      <c r="K28">
        <v>6912</v>
      </c>
      <c r="L28">
        <v>0.99</v>
      </c>
    </row>
    <row r="29" spans="1:12" x14ac:dyDescent="0.35">
      <c r="A29" t="s">
        <v>26</v>
      </c>
      <c r="B29" s="4" t="s">
        <v>16</v>
      </c>
      <c r="C29" s="2">
        <v>582610.625</v>
      </c>
      <c r="D29" s="3">
        <v>84136.9921875</v>
      </c>
      <c r="E29" s="2">
        <v>4701.3701171875</v>
      </c>
      <c r="F29" s="3">
        <v>18660.41015625</v>
      </c>
      <c r="G29">
        <v>690109.4</v>
      </c>
      <c r="H29">
        <v>698117.78</v>
      </c>
      <c r="I29">
        <v>-8008.39</v>
      </c>
      <c r="J29">
        <v>-1.1599999999999999</v>
      </c>
      <c r="K29">
        <v>8683</v>
      </c>
      <c r="L29">
        <v>1.26</v>
      </c>
    </row>
    <row r="30" spans="1:12" x14ac:dyDescent="0.35">
      <c r="A30" t="s">
        <v>26</v>
      </c>
      <c r="B30" s="4" t="s">
        <v>17</v>
      </c>
      <c r="C30" s="2">
        <v>584530.375</v>
      </c>
      <c r="D30" s="3">
        <v>87316.03125</v>
      </c>
      <c r="E30" s="2">
        <v>4749.009765625</v>
      </c>
      <c r="F30" s="3">
        <v>18762.73046875</v>
      </c>
      <c r="G30">
        <v>695358.15</v>
      </c>
      <c r="H30">
        <v>690109.4</v>
      </c>
      <c r="I30">
        <v>5248.75</v>
      </c>
      <c r="J30">
        <v>0.75</v>
      </c>
      <c r="K30">
        <v>3734</v>
      </c>
      <c r="L30">
        <v>0.54</v>
      </c>
    </row>
    <row r="31" spans="1:12" x14ac:dyDescent="0.35">
      <c r="A31" t="s">
        <v>26</v>
      </c>
      <c r="B31" s="4" t="s">
        <v>18</v>
      </c>
      <c r="C31" s="2">
        <v>579180.625</v>
      </c>
      <c r="D31" s="3">
        <v>97464.65625</v>
      </c>
      <c r="E31" s="2">
        <v>4668.35009765625</v>
      </c>
      <c r="F31" s="3">
        <v>18775.060546875</v>
      </c>
      <c r="G31">
        <v>700088.69</v>
      </c>
      <c r="H31">
        <v>695358.15</v>
      </c>
      <c r="I31">
        <v>4730.55</v>
      </c>
      <c r="J31">
        <v>0.68</v>
      </c>
      <c r="K31">
        <v>4135</v>
      </c>
      <c r="L31">
        <v>0.59</v>
      </c>
    </row>
    <row r="32" spans="1:12" x14ac:dyDescent="0.35">
      <c r="A32" t="s">
        <v>26</v>
      </c>
      <c r="B32" s="4" t="s">
        <v>19</v>
      </c>
      <c r="C32" s="2">
        <v>564591.0625</v>
      </c>
      <c r="D32" s="3">
        <v>101725.5625</v>
      </c>
      <c r="E32" s="2">
        <v>4771.81982421875</v>
      </c>
      <c r="F32" s="3">
        <v>18644.41015625</v>
      </c>
      <c r="G32">
        <v>689732.85</v>
      </c>
      <c r="H32">
        <v>700088.69</v>
      </c>
      <c r="I32">
        <v>-10355.84</v>
      </c>
      <c r="J32">
        <v>-1.5</v>
      </c>
      <c r="K32">
        <v>3582</v>
      </c>
      <c r="L32">
        <v>0.52</v>
      </c>
    </row>
    <row r="33" spans="1:12" x14ac:dyDescent="0.35">
      <c r="A33" t="s">
        <v>26</v>
      </c>
      <c r="B33" s="4" t="s">
        <v>20</v>
      </c>
      <c r="C33" s="2">
        <v>557788.75</v>
      </c>
      <c r="D33" s="3">
        <v>106740.34375</v>
      </c>
      <c r="E33" s="2">
        <v>4772.4501953125</v>
      </c>
      <c r="F33" s="3">
        <v>18628.25</v>
      </c>
      <c r="G33">
        <v>687929.79</v>
      </c>
      <c r="H33">
        <v>689732.85</v>
      </c>
      <c r="I33">
        <v>-1803.06</v>
      </c>
      <c r="J33">
        <v>-0.26</v>
      </c>
      <c r="K33">
        <v>3633</v>
      </c>
      <c r="L33">
        <v>0.53</v>
      </c>
    </row>
    <row r="34" spans="1:12" x14ac:dyDescent="0.35">
      <c r="A34" t="s">
        <v>26</v>
      </c>
      <c r="B34" s="4" t="s">
        <v>21</v>
      </c>
      <c r="C34" s="2">
        <v>552896.5625</v>
      </c>
      <c r="D34" s="3">
        <v>111262.359375</v>
      </c>
      <c r="E34" s="2">
        <v>4780.6201171875</v>
      </c>
      <c r="F34" s="3">
        <v>18794.7109375</v>
      </c>
      <c r="G34">
        <v>687734.25</v>
      </c>
      <c r="H34">
        <v>687929.79</v>
      </c>
      <c r="I34">
        <v>-195.54</v>
      </c>
      <c r="J34">
        <v>-0.03</v>
      </c>
      <c r="K34">
        <v>5480</v>
      </c>
      <c r="L34">
        <v>0.8</v>
      </c>
    </row>
    <row r="35" spans="1:12" x14ac:dyDescent="0.35">
      <c r="A35" t="s">
        <v>26</v>
      </c>
      <c r="B35" s="4" t="s">
        <v>22</v>
      </c>
      <c r="C35" s="2">
        <v>560944.875</v>
      </c>
      <c r="D35" s="3">
        <v>126904.34375</v>
      </c>
      <c r="E35" s="2">
        <v>4746.39013671875</v>
      </c>
      <c r="F35" s="3">
        <v>18952.529296875</v>
      </c>
      <c r="G35">
        <v>711548.14</v>
      </c>
      <c r="H35">
        <v>687734.25</v>
      </c>
      <c r="I35">
        <v>23813.89</v>
      </c>
      <c r="J35">
        <v>3.35</v>
      </c>
      <c r="K35">
        <v>2349</v>
      </c>
      <c r="L35">
        <v>0.33</v>
      </c>
    </row>
    <row r="36" spans="1:12" x14ac:dyDescent="0.35">
      <c r="A36" t="s">
        <v>26</v>
      </c>
      <c r="B36" s="4" t="s">
        <v>23</v>
      </c>
      <c r="C36" s="2">
        <v>573125</v>
      </c>
      <c r="D36" s="3">
        <v>131629.65625</v>
      </c>
      <c r="E36" s="2">
        <v>4873.22998046875</v>
      </c>
      <c r="F36" s="3">
        <v>18865.9296875</v>
      </c>
      <c r="G36">
        <v>728493.82</v>
      </c>
      <c r="H36">
        <v>711548.14</v>
      </c>
      <c r="I36">
        <v>16945.68</v>
      </c>
      <c r="J36">
        <v>2.33</v>
      </c>
      <c r="K36">
        <v>5357</v>
      </c>
      <c r="L36">
        <v>0.74</v>
      </c>
    </row>
    <row r="37" spans="1:12" x14ac:dyDescent="0.35">
      <c r="A37" t="s">
        <v>26</v>
      </c>
      <c r="B37" s="4" t="s">
        <v>24</v>
      </c>
      <c r="C37" s="2">
        <v>552282.6875</v>
      </c>
      <c r="D37" s="3">
        <v>115395.390625</v>
      </c>
      <c r="E37" s="2">
        <v>4808.080078125</v>
      </c>
      <c r="F37" s="3">
        <v>18621.41015625</v>
      </c>
      <c r="G37">
        <v>691107.57</v>
      </c>
      <c r="H37">
        <v>728493.82</v>
      </c>
      <c r="I37">
        <v>-37386.25</v>
      </c>
      <c r="J37">
        <v>-5.41</v>
      </c>
      <c r="K37">
        <v>3266</v>
      </c>
      <c r="L37">
        <v>0.47</v>
      </c>
    </row>
    <row r="40" spans="1:12" x14ac:dyDescent="0.35">
      <c r="I40"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073F-5DC8-44E4-AE86-27C887A792EC}">
  <dimension ref="A35:B71"/>
  <sheetViews>
    <sheetView showGridLines="0" workbookViewId="0">
      <selection activeCell="N13" sqref="N13"/>
    </sheetView>
  </sheetViews>
  <sheetFormatPr defaultRowHeight="14.5" x14ac:dyDescent="0.35"/>
  <cols>
    <col min="1" max="1" width="16.453125" customWidth="1"/>
  </cols>
  <sheetData>
    <row r="35" spans="1:2" x14ac:dyDescent="0.35">
      <c r="A35" s="5" t="s">
        <v>10</v>
      </c>
      <c r="B35" s="6" t="s">
        <v>27</v>
      </c>
    </row>
    <row r="36" spans="1:2" x14ac:dyDescent="0.35">
      <c r="A36" s="1">
        <v>5106</v>
      </c>
      <c r="B36" t="e">
        <v>#N/A</v>
      </c>
    </row>
    <row r="37" spans="1:2" x14ac:dyDescent="0.35">
      <c r="A37" s="1">
        <v>2678</v>
      </c>
      <c r="B37" t="e">
        <v>#N/A</v>
      </c>
    </row>
    <row r="38" spans="1:2" x14ac:dyDescent="0.35">
      <c r="A38" s="1">
        <v>3162</v>
      </c>
      <c r="B38">
        <f t="shared" ref="B38:B70" si="0">AVERAGE(A36:A38)</f>
        <v>3648.6666666666665</v>
      </c>
    </row>
    <row r="39" spans="1:2" x14ac:dyDescent="0.35">
      <c r="A39" s="1">
        <v>2546</v>
      </c>
      <c r="B39">
        <f t="shared" si="0"/>
        <v>2795.3333333333335</v>
      </c>
    </row>
    <row r="40" spans="1:2" x14ac:dyDescent="0.35">
      <c r="A40" s="1">
        <v>2908</v>
      </c>
      <c r="B40">
        <f t="shared" si="0"/>
        <v>2872</v>
      </c>
    </row>
    <row r="41" spans="1:2" x14ac:dyDescent="0.35">
      <c r="A41" s="1">
        <v>4089</v>
      </c>
      <c r="B41">
        <f t="shared" si="0"/>
        <v>3181</v>
      </c>
    </row>
    <row r="42" spans="1:2" x14ac:dyDescent="0.35">
      <c r="A42" s="1">
        <v>6338</v>
      </c>
      <c r="B42">
        <f t="shared" si="0"/>
        <v>4445</v>
      </c>
    </row>
    <row r="43" spans="1:2" x14ac:dyDescent="0.35">
      <c r="A43" s="1">
        <v>2837</v>
      </c>
      <c r="B43">
        <f t="shared" si="0"/>
        <v>4421.333333333333</v>
      </c>
    </row>
    <row r="44" spans="1:2" x14ac:dyDescent="0.35">
      <c r="A44" s="1">
        <v>2374</v>
      </c>
      <c r="B44">
        <f t="shared" si="0"/>
        <v>3849.6666666666665</v>
      </c>
    </row>
    <row r="45" spans="1:2" x14ac:dyDescent="0.35">
      <c r="A45" s="1">
        <v>5995</v>
      </c>
      <c r="B45">
        <f t="shared" si="0"/>
        <v>3735.3333333333335</v>
      </c>
    </row>
    <row r="46" spans="1:2" x14ac:dyDescent="0.35">
      <c r="A46" s="1">
        <v>2649</v>
      </c>
      <c r="B46">
        <f t="shared" si="0"/>
        <v>3672.6666666666665</v>
      </c>
    </row>
    <row r="47" spans="1:2" x14ac:dyDescent="0.35">
      <c r="A47" s="1">
        <v>3742</v>
      </c>
      <c r="B47">
        <f t="shared" si="0"/>
        <v>4128.666666666667</v>
      </c>
    </row>
    <row r="48" spans="1:2" x14ac:dyDescent="0.35">
      <c r="A48" s="1">
        <v>4910</v>
      </c>
      <c r="B48">
        <f t="shared" si="0"/>
        <v>3767</v>
      </c>
    </row>
    <row r="49" spans="1:2" x14ac:dyDescent="0.35">
      <c r="A49" s="1">
        <v>5853</v>
      </c>
      <c r="B49">
        <f t="shared" si="0"/>
        <v>4835</v>
      </c>
    </row>
    <row r="50" spans="1:2" x14ac:dyDescent="0.35">
      <c r="A50" s="1">
        <v>5415</v>
      </c>
      <c r="B50">
        <f t="shared" si="0"/>
        <v>5392.666666666667</v>
      </c>
    </row>
    <row r="51" spans="1:2" x14ac:dyDescent="0.35">
      <c r="A51" s="1">
        <v>3213</v>
      </c>
      <c r="B51">
        <f t="shared" si="0"/>
        <v>4827</v>
      </c>
    </row>
    <row r="52" spans="1:2" x14ac:dyDescent="0.35">
      <c r="A52" s="1">
        <v>6393</v>
      </c>
      <c r="B52">
        <f t="shared" si="0"/>
        <v>5007</v>
      </c>
    </row>
    <row r="53" spans="1:2" x14ac:dyDescent="0.35">
      <c r="A53" s="1">
        <v>4006</v>
      </c>
      <c r="B53">
        <f t="shared" si="0"/>
        <v>4537.333333333333</v>
      </c>
    </row>
    <row r="54" spans="1:2" x14ac:dyDescent="0.35">
      <c r="A54" s="1">
        <v>4223</v>
      </c>
      <c r="B54">
        <f t="shared" si="0"/>
        <v>4874</v>
      </c>
    </row>
    <row r="55" spans="1:2" x14ac:dyDescent="0.35">
      <c r="A55" s="1">
        <v>2285</v>
      </c>
      <c r="B55">
        <f t="shared" si="0"/>
        <v>3504.6666666666665</v>
      </c>
    </row>
    <row r="56" spans="1:2" x14ac:dyDescent="0.35">
      <c r="A56" s="1">
        <v>4374</v>
      </c>
      <c r="B56">
        <f t="shared" si="0"/>
        <v>3627.3333333333335</v>
      </c>
    </row>
    <row r="57" spans="1:2" x14ac:dyDescent="0.35">
      <c r="A57" s="1">
        <v>3363</v>
      </c>
      <c r="B57">
        <f t="shared" si="0"/>
        <v>3340.6666666666665</v>
      </c>
    </row>
    <row r="58" spans="1:2" x14ac:dyDescent="0.35">
      <c r="A58" s="1">
        <v>2831</v>
      </c>
      <c r="B58">
        <f t="shared" si="0"/>
        <v>3522.6666666666665</v>
      </c>
    </row>
    <row r="59" spans="1:2" x14ac:dyDescent="0.35">
      <c r="A59" s="1">
        <v>3152</v>
      </c>
      <c r="B59">
        <f t="shared" si="0"/>
        <v>3115.3333333333335</v>
      </c>
    </row>
    <row r="60" spans="1:2" x14ac:dyDescent="0.35">
      <c r="A60" s="1">
        <v>6559</v>
      </c>
      <c r="B60">
        <f t="shared" si="0"/>
        <v>4180.666666666667</v>
      </c>
    </row>
    <row r="61" spans="1:2" x14ac:dyDescent="0.35">
      <c r="A61" s="1">
        <v>5157</v>
      </c>
      <c r="B61">
        <f t="shared" si="0"/>
        <v>4956</v>
      </c>
    </row>
    <row r="62" spans="1:2" x14ac:dyDescent="0.35">
      <c r="A62" s="1">
        <v>6912</v>
      </c>
      <c r="B62">
        <f t="shared" si="0"/>
        <v>6209.333333333333</v>
      </c>
    </row>
    <row r="63" spans="1:2" x14ac:dyDescent="0.35">
      <c r="A63" s="1">
        <v>8683</v>
      </c>
      <c r="B63">
        <f t="shared" si="0"/>
        <v>6917.333333333333</v>
      </c>
    </row>
    <row r="64" spans="1:2" x14ac:dyDescent="0.35">
      <c r="A64" s="1">
        <v>3734</v>
      </c>
      <c r="B64">
        <f t="shared" si="0"/>
        <v>6443</v>
      </c>
    </row>
    <row r="65" spans="1:2" x14ac:dyDescent="0.35">
      <c r="A65" s="1">
        <v>4135</v>
      </c>
      <c r="B65">
        <f t="shared" si="0"/>
        <v>5517.333333333333</v>
      </c>
    </row>
    <row r="66" spans="1:2" x14ac:dyDescent="0.35">
      <c r="A66" s="1">
        <v>3582</v>
      </c>
      <c r="B66">
        <f t="shared" si="0"/>
        <v>3817</v>
      </c>
    </row>
    <row r="67" spans="1:2" x14ac:dyDescent="0.35">
      <c r="A67" s="1">
        <v>3633</v>
      </c>
      <c r="B67">
        <f t="shared" si="0"/>
        <v>3783.3333333333335</v>
      </c>
    </row>
    <row r="68" spans="1:2" x14ac:dyDescent="0.35">
      <c r="A68" s="1">
        <v>5480</v>
      </c>
      <c r="B68">
        <f t="shared" si="0"/>
        <v>4231.666666666667</v>
      </c>
    </row>
    <row r="69" spans="1:2" x14ac:dyDescent="0.35">
      <c r="A69" s="1">
        <v>2349</v>
      </c>
      <c r="B69">
        <f t="shared" si="0"/>
        <v>3820.6666666666665</v>
      </c>
    </row>
    <row r="70" spans="1:2" x14ac:dyDescent="0.35">
      <c r="A70" s="1">
        <v>5357</v>
      </c>
      <c r="B70">
        <f t="shared" si="0"/>
        <v>4395.333333333333</v>
      </c>
    </row>
    <row r="71" spans="1:2" x14ac:dyDescent="0.35">
      <c r="A71" s="1">
        <v>3266</v>
      </c>
      <c r="B71">
        <f>AVERAGE(A36:A71)</f>
        <v>4258.0277777777774</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F633-33EE-4003-A9B1-8DDF43CC3A7A}">
  <dimension ref="A1:H11"/>
  <sheetViews>
    <sheetView showGridLines="0" workbookViewId="0">
      <selection activeCell="C36" sqref="C36"/>
    </sheetView>
  </sheetViews>
  <sheetFormatPr defaultRowHeight="14.5" x14ac:dyDescent="0.35"/>
  <cols>
    <col min="1" max="1" width="13.6328125" bestFit="1" customWidth="1"/>
    <col min="2" max="4" width="29.26953125" bestFit="1" customWidth="1"/>
    <col min="5" max="5" width="13.08984375" customWidth="1"/>
    <col min="6" max="6" width="29.26953125" bestFit="1" customWidth="1"/>
    <col min="7" max="7" width="20.6328125" bestFit="1" customWidth="1"/>
    <col min="8" max="8" width="10.81640625" bestFit="1" customWidth="1"/>
    <col min="9" max="9" width="12.453125" bestFit="1" customWidth="1"/>
  </cols>
  <sheetData>
    <row r="1" spans="1:8" x14ac:dyDescent="0.35">
      <c r="A1" s="7" t="s">
        <v>28</v>
      </c>
      <c r="B1" s="7" t="s">
        <v>29</v>
      </c>
      <c r="C1" s="7" t="s">
        <v>30</v>
      </c>
      <c r="D1" s="7" t="s">
        <v>31</v>
      </c>
      <c r="E1" s="7" t="s">
        <v>32</v>
      </c>
      <c r="F1" s="7" t="s">
        <v>33</v>
      </c>
      <c r="G1" s="7" t="s">
        <v>34</v>
      </c>
      <c r="H1" s="7" t="s">
        <v>35</v>
      </c>
    </row>
    <row r="2" spans="1:8" x14ac:dyDescent="0.35">
      <c r="A2" t="s">
        <v>41</v>
      </c>
      <c r="B2">
        <v>1216</v>
      </c>
      <c r="C2">
        <v>795</v>
      </c>
      <c r="D2">
        <v>-34.619999999999997</v>
      </c>
      <c r="E2">
        <v>1007</v>
      </c>
      <c r="F2">
        <v>26.67</v>
      </c>
      <c r="G2">
        <v>-17.18</v>
      </c>
      <c r="H2">
        <v>3018</v>
      </c>
    </row>
    <row r="3" spans="1:8" x14ac:dyDescent="0.35">
      <c r="A3" t="s">
        <v>42</v>
      </c>
      <c r="B3">
        <v>2924</v>
      </c>
      <c r="C3">
        <v>4345</v>
      </c>
      <c r="D3">
        <v>48.6</v>
      </c>
      <c r="E3">
        <v>2738</v>
      </c>
      <c r="F3">
        <v>-36.99</v>
      </c>
      <c r="G3">
        <v>-6.37</v>
      </c>
      <c r="H3">
        <v>10007</v>
      </c>
    </row>
    <row r="4" spans="1:8" x14ac:dyDescent="0.35">
      <c r="A4" t="s">
        <v>38</v>
      </c>
      <c r="B4">
        <v>4998</v>
      </c>
      <c r="C4">
        <v>5457</v>
      </c>
      <c r="D4">
        <v>9.18</v>
      </c>
      <c r="E4">
        <v>11171</v>
      </c>
      <c r="F4">
        <v>104.71</v>
      </c>
      <c r="G4">
        <v>123.5</v>
      </c>
      <c r="H4">
        <v>21626</v>
      </c>
    </row>
    <row r="5" spans="1:8" x14ac:dyDescent="0.35">
      <c r="A5" t="s">
        <v>36</v>
      </c>
      <c r="B5">
        <v>11774</v>
      </c>
      <c r="C5">
        <v>14942</v>
      </c>
      <c r="D5">
        <v>26.91</v>
      </c>
      <c r="E5">
        <v>19802</v>
      </c>
      <c r="F5">
        <v>32.53</v>
      </c>
      <c r="G5">
        <v>68.19</v>
      </c>
      <c r="H5">
        <v>46518</v>
      </c>
    </row>
    <row r="6" spans="1:8" x14ac:dyDescent="0.35">
      <c r="A6" t="s">
        <v>39</v>
      </c>
      <c r="B6">
        <v>4924</v>
      </c>
      <c r="C6">
        <v>4620</v>
      </c>
      <c r="D6">
        <v>-6.17</v>
      </c>
      <c r="E6">
        <v>3374</v>
      </c>
      <c r="F6">
        <v>-26.97</v>
      </c>
      <c r="G6">
        <v>-31.48</v>
      </c>
      <c r="H6">
        <v>12918</v>
      </c>
    </row>
    <row r="7" spans="1:8" x14ac:dyDescent="0.35">
      <c r="A7" t="s">
        <v>37</v>
      </c>
      <c r="B7">
        <v>7970</v>
      </c>
      <c r="C7">
        <v>8344</v>
      </c>
      <c r="D7">
        <v>4.6900000000000004</v>
      </c>
      <c r="E7">
        <v>6576</v>
      </c>
      <c r="F7">
        <v>-21.19</v>
      </c>
      <c r="G7">
        <v>-17.489999999999998</v>
      </c>
      <c r="H7">
        <v>22890</v>
      </c>
    </row>
    <row r="8" spans="1:8" x14ac:dyDescent="0.35">
      <c r="A8" t="s">
        <v>40</v>
      </c>
      <c r="B8">
        <v>3177</v>
      </c>
      <c r="C8">
        <v>2478</v>
      </c>
      <c r="D8">
        <v>-22</v>
      </c>
      <c r="E8">
        <v>3745</v>
      </c>
      <c r="F8">
        <v>51.13</v>
      </c>
      <c r="G8">
        <v>17.88</v>
      </c>
      <c r="H8">
        <v>9400</v>
      </c>
    </row>
    <row r="9" spans="1:8" x14ac:dyDescent="0.35">
      <c r="A9" t="s">
        <v>45</v>
      </c>
      <c r="B9">
        <v>505</v>
      </c>
      <c r="C9">
        <v>469</v>
      </c>
      <c r="D9">
        <v>-7.13</v>
      </c>
      <c r="E9">
        <v>495</v>
      </c>
      <c r="F9">
        <v>5.54</v>
      </c>
      <c r="G9">
        <v>-1.99</v>
      </c>
      <c r="H9">
        <v>1469</v>
      </c>
    </row>
    <row r="10" spans="1:8" x14ac:dyDescent="0.35">
      <c r="A10" t="s">
        <v>44</v>
      </c>
      <c r="B10">
        <v>806</v>
      </c>
      <c r="C10">
        <v>1203</v>
      </c>
      <c r="D10">
        <v>49.26</v>
      </c>
      <c r="E10">
        <v>1412</v>
      </c>
      <c r="F10">
        <v>17.37</v>
      </c>
      <c r="G10">
        <v>75.19</v>
      </c>
      <c r="H10">
        <v>3421</v>
      </c>
    </row>
    <row r="11" spans="1:8" x14ac:dyDescent="0.35">
      <c r="A11" t="s">
        <v>43</v>
      </c>
      <c r="B11">
        <v>342</v>
      </c>
      <c r="C11">
        <v>371</v>
      </c>
      <c r="D11">
        <v>8.48</v>
      </c>
      <c r="E11">
        <v>2084</v>
      </c>
      <c r="F11">
        <v>461.73</v>
      </c>
      <c r="G11">
        <v>509.36</v>
      </c>
      <c r="H11">
        <v>2797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2DF8F-A89B-4E85-A19A-10CD0B2B2248}">
  <dimension ref="A1:I11"/>
  <sheetViews>
    <sheetView workbookViewId="0">
      <selection activeCell="D20" sqref="D20"/>
    </sheetView>
  </sheetViews>
  <sheetFormatPr defaultRowHeight="14.5" x14ac:dyDescent="0.35"/>
  <cols>
    <col min="1" max="1" width="13.6328125" bestFit="1" customWidth="1"/>
    <col min="2" max="3" width="10" bestFit="1" customWidth="1"/>
    <col min="4" max="4" width="29.26953125" bestFit="1" customWidth="1"/>
    <col min="5" max="5" width="14.453125" customWidth="1"/>
    <col min="6" max="6" width="29.26953125" bestFit="1" customWidth="1"/>
    <col min="7" max="7" width="20.6328125" bestFit="1" customWidth="1"/>
    <col min="8" max="8" width="10.81640625" bestFit="1" customWidth="1"/>
    <col min="9" max="9" width="12.453125" bestFit="1" customWidth="1"/>
  </cols>
  <sheetData>
    <row r="1" spans="1:9" x14ac:dyDescent="0.35">
      <c r="A1" t="s">
        <v>28</v>
      </c>
      <c r="B1" t="s">
        <v>29</v>
      </c>
      <c r="C1" t="s">
        <v>30</v>
      </c>
      <c r="D1" t="s">
        <v>31</v>
      </c>
      <c r="E1" t="s">
        <v>32</v>
      </c>
      <c r="F1" t="s">
        <v>33</v>
      </c>
      <c r="G1" t="s">
        <v>34</v>
      </c>
      <c r="H1" t="s">
        <v>35</v>
      </c>
      <c r="I1" t="s">
        <v>46</v>
      </c>
    </row>
    <row r="2" spans="1:9" x14ac:dyDescent="0.35">
      <c r="A2" t="s">
        <v>36</v>
      </c>
      <c r="B2">
        <v>11774</v>
      </c>
      <c r="C2">
        <v>14942</v>
      </c>
      <c r="D2">
        <v>26.91</v>
      </c>
      <c r="E2">
        <v>19802</v>
      </c>
      <c r="F2">
        <v>32.53</v>
      </c>
      <c r="G2">
        <v>68.19</v>
      </c>
      <c r="H2">
        <v>46518</v>
      </c>
      <c r="I2">
        <f t="shared" ref="I2:I11" si="0">MEDIAN(B2,C2,E2)</f>
        <v>14942</v>
      </c>
    </row>
    <row r="3" spans="1:9" x14ac:dyDescent="0.35">
      <c r="A3" t="s">
        <v>37</v>
      </c>
      <c r="B3">
        <v>7970</v>
      </c>
      <c r="C3">
        <v>8344</v>
      </c>
      <c r="D3">
        <v>4.6900000000000004</v>
      </c>
      <c r="E3">
        <v>6576</v>
      </c>
      <c r="F3">
        <v>-21.19</v>
      </c>
      <c r="G3">
        <v>-17.489999999999998</v>
      </c>
      <c r="H3">
        <v>22890</v>
      </c>
      <c r="I3">
        <f t="shared" si="0"/>
        <v>7970</v>
      </c>
    </row>
    <row r="4" spans="1:9" x14ac:dyDescent="0.35">
      <c r="A4" t="s">
        <v>38</v>
      </c>
      <c r="B4">
        <v>4998</v>
      </c>
      <c r="C4">
        <v>5457</v>
      </c>
      <c r="D4">
        <v>9.18</v>
      </c>
      <c r="E4">
        <v>11171</v>
      </c>
      <c r="F4">
        <v>104.71</v>
      </c>
      <c r="G4">
        <v>123.5</v>
      </c>
      <c r="H4">
        <v>21626</v>
      </c>
      <c r="I4">
        <f t="shared" si="0"/>
        <v>5457</v>
      </c>
    </row>
    <row r="5" spans="1:9" x14ac:dyDescent="0.35">
      <c r="A5" t="s">
        <v>39</v>
      </c>
      <c r="B5">
        <v>4924</v>
      </c>
      <c r="C5">
        <v>4620</v>
      </c>
      <c r="D5">
        <v>-6.17</v>
      </c>
      <c r="E5">
        <v>3374</v>
      </c>
      <c r="F5">
        <v>-26.97</v>
      </c>
      <c r="G5">
        <v>-31.48</v>
      </c>
      <c r="H5">
        <v>12918</v>
      </c>
      <c r="I5">
        <f t="shared" si="0"/>
        <v>4620</v>
      </c>
    </row>
    <row r="6" spans="1:9" x14ac:dyDescent="0.35">
      <c r="A6" t="s">
        <v>42</v>
      </c>
      <c r="B6">
        <v>2924</v>
      </c>
      <c r="C6">
        <v>4345</v>
      </c>
      <c r="D6">
        <v>48.6</v>
      </c>
      <c r="E6">
        <v>2738</v>
      </c>
      <c r="F6">
        <v>-36.99</v>
      </c>
      <c r="G6">
        <v>-6.37</v>
      </c>
      <c r="H6">
        <v>10007</v>
      </c>
      <c r="I6">
        <f t="shared" si="0"/>
        <v>2924</v>
      </c>
    </row>
    <row r="7" spans="1:9" x14ac:dyDescent="0.35">
      <c r="A7" t="s">
        <v>40</v>
      </c>
      <c r="B7">
        <v>3177</v>
      </c>
      <c r="C7">
        <v>2478</v>
      </c>
      <c r="D7">
        <v>-22</v>
      </c>
      <c r="E7">
        <v>3745</v>
      </c>
      <c r="F7">
        <v>51.13</v>
      </c>
      <c r="G7">
        <v>17.88</v>
      </c>
      <c r="H7">
        <v>9400</v>
      </c>
      <c r="I7">
        <f t="shared" si="0"/>
        <v>3177</v>
      </c>
    </row>
    <row r="8" spans="1:9" x14ac:dyDescent="0.35">
      <c r="A8" t="s">
        <v>44</v>
      </c>
      <c r="B8">
        <v>806</v>
      </c>
      <c r="C8">
        <v>1203</v>
      </c>
      <c r="D8">
        <v>49.26</v>
      </c>
      <c r="E8">
        <v>1412</v>
      </c>
      <c r="F8">
        <v>17.37</v>
      </c>
      <c r="G8">
        <v>75.19</v>
      </c>
      <c r="H8">
        <v>3421</v>
      </c>
      <c r="I8">
        <f t="shared" si="0"/>
        <v>1203</v>
      </c>
    </row>
    <row r="9" spans="1:9" x14ac:dyDescent="0.35">
      <c r="A9" t="s">
        <v>41</v>
      </c>
      <c r="B9">
        <v>1216</v>
      </c>
      <c r="C9">
        <v>795</v>
      </c>
      <c r="D9">
        <v>-34.619999999999997</v>
      </c>
      <c r="E9">
        <v>1007</v>
      </c>
      <c r="F9">
        <v>26.67</v>
      </c>
      <c r="G9">
        <v>-17.18</v>
      </c>
      <c r="H9">
        <v>3018</v>
      </c>
      <c r="I9">
        <f t="shared" si="0"/>
        <v>1007</v>
      </c>
    </row>
    <row r="10" spans="1:9" x14ac:dyDescent="0.35">
      <c r="A10" t="s">
        <v>43</v>
      </c>
      <c r="B10">
        <v>342</v>
      </c>
      <c r="C10">
        <v>371</v>
      </c>
      <c r="D10">
        <v>8.48</v>
      </c>
      <c r="E10">
        <v>2084</v>
      </c>
      <c r="F10">
        <v>461.73</v>
      </c>
      <c r="G10">
        <v>509.36</v>
      </c>
      <c r="H10">
        <v>2797</v>
      </c>
      <c r="I10">
        <f t="shared" si="0"/>
        <v>371</v>
      </c>
    </row>
    <row r="11" spans="1:9" x14ac:dyDescent="0.35">
      <c r="A11" t="s">
        <v>45</v>
      </c>
      <c r="B11">
        <v>505</v>
      </c>
      <c r="C11">
        <v>469</v>
      </c>
      <c r="D11">
        <v>-7.13</v>
      </c>
      <c r="E11">
        <v>495</v>
      </c>
      <c r="F11">
        <v>5.54</v>
      </c>
      <c r="G11">
        <v>-1.99</v>
      </c>
      <c r="H11">
        <v>1469</v>
      </c>
      <c r="I11">
        <f t="shared" si="0"/>
        <v>495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E55E-126A-41FB-AC57-B455AEEA4790}">
  <dimension ref="A1:Z99"/>
  <sheetViews>
    <sheetView topLeftCell="A2" workbookViewId="0">
      <selection activeCell="B2" sqref="B2"/>
    </sheetView>
  </sheetViews>
  <sheetFormatPr defaultRowHeight="14.5" x14ac:dyDescent="0.35"/>
  <cols>
    <col min="1" max="1" width="7.08984375" bestFit="1" customWidth="1"/>
    <col min="2" max="2" width="80.7265625" bestFit="1" customWidth="1"/>
    <col min="3" max="3" width="14.90625" bestFit="1" customWidth="1"/>
    <col min="4" max="4" width="27.08984375" bestFit="1" customWidth="1"/>
    <col min="5" max="5" width="15.26953125" bestFit="1" customWidth="1"/>
    <col min="6" max="6" width="27.453125" bestFit="1" customWidth="1"/>
    <col min="7" max="7" width="15.1796875" bestFit="1" customWidth="1"/>
    <col min="8" max="8" width="14.90625" bestFit="1" customWidth="1"/>
    <col min="9" max="9" width="27.08984375" bestFit="1" customWidth="1"/>
    <col min="10" max="10" width="15.26953125" bestFit="1" customWidth="1"/>
    <col min="11" max="11" width="27.453125" bestFit="1" customWidth="1"/>
    <col min="12" max="12" width="15.1796875" bestFit="1" customWidth="1"/>
    <col min="13" max="13" width="14.90625" bestFit="1" customWidth="1"/>
    <col min="14" max="14" width="27.08984375" bestFit="1" customWidth="1"/>
    <col min="15" max="15" width="15.26953125" bestFit="1" customWidth="1"/>
    <col min="16" max="16" width="27.453125" bestFit="1" customWidth="1"/>
    <col min="17" max="17" width="15.1796875" bestFit="1" customWidth="1"/>
    <col min="18" max="18" width="14.1796875" bestFit="1" customWidth="1"/>
    <col min="19" max="19" width="14.453125" bestFit="1" customWidth="1"/>
    <col min="20" max="20" width="16.6328125" bestFit="1" customWidth="1"/>
    <col min="21" max="21" width="22.7265625" bestFit="1" customWidth="1"/>
    <col min="22" max="22" width="23" bestFit="1" customWidth="1"/>
    <col min="23" max="24" width="28.90625" bestFit="1" customWidth="1"/>
    <col min="25" max="26" width="29.1796875" bestFit="1" customWidth="1"/>
  </cols>
  <sheetData>
    <row r="1" spans="1:26" x14ac:dyDescent="0.35">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c r="T1" t="s">
        <v>66</v>
      </c>
      <c r="U1" t="s">
        <v>69</v>
      </c>
      <c r="V1" t="s">
        <v>72</v>
      </c>
      <c r="W1" t="s">
        <v>67</v>
      </c>
      <c r="X1" t="s">
        <v>68</v>
      </c>
      <c r="Y1" t="s">
        <v>70</v>
      </c>
      <c r="Z1" t="s">
        <v>71</v>
      </c>
    </row>
    <row r="2" spans="1:26" x14ac:dyDescent="0.35">
      <c r="A2">
        <v>87</v>
      </c>
      <c r="B2" t="s">
        <v>159</v>
      </c>
      <c r="C2">
        <v>3243.260009765625</v>
      </c>
      <c r="D2">
        <v>0.74199999999999999</v>
      </c>
      <c r="E2">
        <v>12697.5400390625</v>
      </c>
      <c r="F2">
        <v>1.8722000000000001</v>
      </c>
      <c r="G2">
        <v>-9454.2800000000007</v>
      </c>
      <c r="H2">
        <v>6964.43017578125</v>
      </c>
      <c r="I2">
        <v>1.5911</v>
      </c>
      <c r="J2">
        <v>13911.58984375</v>
      </c>
      <c r="K2">
        <v>1.9289000000000001</v>
      </c>
      <c r="L2">
        <v>-6947.16</v>
      </c>
      <c r="M2">
        <v>1665.93994140625</v>
      </c>
      <c r="N2">
        <v>0.37740000000000001</v>
      </c>
      <c r="O2">
        <v>13658.6298828125</v>
      </c>
      <c r="P2">
        <v>1.7607999999999999</v>
      </c>
      <c r="Q2">
        <v>-11992.69</v>
      </c>
      <c r="R2">
        <v>11873.63</v>
      </c>
      <c r="S2">
        <v>40267.760000000002</v>
      </c>
      <c r="T2">
        <v>-28394.13</v>
      </c>
      <c r="U2">
        <v>19.329999999999998</v>
      </c>
      <c r="V2">
        <v>3.87</v>
      </c>
      <c r="W2">
        <v>114.74</v>
      </c>
      <c r="X2">
        <v>-76.08</v>
      </c>
      <c r="Y2">
        <v>9.56</v>
      </c>
      <c r="Z2">
        <v>-1.82</v>
      </c>
    </row>
    <row r="3" spans="1:26" x14ac:dyDescent="0.35">
      <c r="A3">
        <v>35</v>
      </c>
      <c r="B3" t="s">
        <v>107</v>
      </c>
      <c r="C3">
        <v>378.20999145507813</v>
      </c>
      <c r="D3">
        <v>8.6499999999999994E-2</v>
      </c>
      <c r="E3">
        <v>853.44000244140625</v>
      </c>
      <c r="F3">
        <v>0.1258</v>
      </c>
      <c r="G3">
        <v>-475.23</v>
      </c>
      <c r="H3">
        <v>397</v>
      </c>
      <c r="I3">
        <v>9.0700000000000003E-2</v>
      </c>
      <c r="J3">
        <v>973.58001708984375</v>
      </c>
      <c r="K3">
        <v>0.13500000000000001</v>
      </c>
      <c r="L3">
        <v>-576.58000000000004</v>
      </c>
      <c r="M3">
        <v>436.26998901367188</v>
      </c>
      <c r="N3">
        <v>9.8799999999999999E-2</v>
      </c>
      <c r="O3">
        <v>1198.8399658203125</v>
      </c>
      <c r="P3">
        <v>0.1545</v>
      </c>
      <c r="Q3">
        <v>-762.57</v>
      </c>
      <c r="R3">
        <v>1211.48</v>
      </c>
      <c r="S3">
        <v>3025.86</v>
      </c>
      <c r="T3">
        <v>-1814.38</v>
      </c>
      <c r="U3">
        <v>7.43</v>
      </c>
      <c r="V3">
        <v>18.61</v>
      </c>
      <c r="W3">
        <v>4.97</v>
      </c>
      <c r="X3">
        <v>9.89</v>
      </c>
      <c r="Y3">
        <v>14.08</v>
      </c>
      <c r="Z3">
        <v>23.14</v>
      </c>
    </row>
    <row r="4" spans="1:26" x14ac:dyDescent="0.35">
      <c r="A4">
        <v>76</v>
      </c>
      <c r="B4" t="s">
        <v>148</v>
      </c>
      <c r="C4">
        <v>7651.25</v>
      </c>
      <c r="D4">
        <v>1.7505999999999999</v>
      </c>
      <c r="E4">
        <v>6864.14013671875</v>
      </c>
      <c r="F4">
        <v>1.0121</v>
      </c>
      <c r="G4">
        <v>787.11</v>
      </c>
      <c r="H4">
        <v>6826.06005859375</v>
      </c>
      <c r="I4">
        <v>1.5595000000000001</v>
      </c>
      <c r="J4">
        <v>8272.990234375</v>
      </c>
      <c r="K4">
        <v>1.1471</v>
      </c>
      <c r="L4">
        <v>-1446.93</v>
      </c>
      <c r="M4">
        <v>7017.68017578125</v>
      </c>
      <c r="N4">
        <v>1.5896999999999999</v>
      </c>
      <c r="O4">
        <v>10000.33984375</v>
      </c>
      <c r="P4">
        <v>1.2891999999999999</v>
      </c>
      <c r="Q4">
        <v>-2982.66</v>
      </c>
      <c r="R4">
        <v>21494.99</v>
      </c>
      <c r="S4">
        <v>25137.47</v>
      </c>
      <c r="T4">
        <v>-3642.48</v>
      </c>
      <c r="U4">
        <v>-3.99</v>
      </c>
      <c r="V4">
        <v>20.7</v>
      </c>
      <c r="W4">
        <v>-10.79</v>
      </c>
      <c r="X4">
        <v>2.81</v>
      </c>
      <c r="Y4">
        <v>20.52</v>
      </c>
      <c r="Z4">
        <v>20.88</v>
      </c>
    </row>
    <row r="5" spans="1:26" x14ac:dyDescent="0.35">
      <c r="A5">
        <v>15</v>
      </c>
      <c r="B5" t="s">
        <v>87</v>
      </c>
      <c r="C5">
        <v>1824.8599853515625</v>
      </c>
      <c r="D5">
        <v>0.41749999999999998</v>
      </c>
      <c r="E5">
        <v>15059.4697265625</v>
      </c>
      <c r="F5">
        <v>2.2204999999999999</v>
      </c>
      <c r="G5">
        <v>-13234.61</v>
      </c>
      <c r="H5">
        <v>2040.77001953125</v>
      </c>
      <c r="I5">
        <v>0.4662</v>
      </c>
      <c r="J5">
        <v>17591.640625</v>
      </c>
      <c r="K5">
        <v>2.4392</v>
      </c>
      <c r="L5">
        <v>-15550.87</v>
      </c>
      <c r="M5">
        <v>2227.8798828125</v>
      </c>
      <c r="N5">
        <v>0.50470000000000004</v>
      </c>
      <c r="O5">
        <v>19776.970703125</v>
      </c>
      <c r="P5">
        <v>2.5495000000000001</v>
      </c>
      <c r="Q5">
        <v>-17549.09</v>
      </c>
      <c r="R5">
        <v>6093.51</v>
      </c>
      <c r="S5">
        <v>52428.08</v>
      </c>
      <c r="T5">
        <v>-46334.57</v>
      </c>
      <c r="U5">
        <v>10.5</v>
      </c>
      <c r="V5">
        <v>14.62</v>
      </c>
      <c r="W5">
        <v>11.83</v>
      </c>
      <c r="X5">
        <v>9.17</v>
      </c>
      <c r="Y5">
        <v>16.809999999999999</v>
      </c>
      <c r="Z5">
        <v>12.42</v>
      </c>
    </row>
    <row r="6" spans="1:26" x14ac:dyDescent="0.35">
      <c r="A6">
        <v>92</v>
      </c>
      <c r="B6" t="s">
        <v>164</v>
      </c>
      <c r="C6">
        <v>342.6300048828125</v>
      </c>
      <c r="D6">
        <v>7.8399999999999997E-2</v>
      </c>
      <c r="E6">
        <v>144.46000671386719</v>
      </c>
      <c r="F6">
        <v>2.1299999999999999E-2</v>
      </c>
      <c r="G6">
        <v>198.17</v>
      </c>
      <c r="H6">
        <v>567.21002197265625</v>
      </c>
      <c r="I6">
        <v>0.12959999999999999</v>
      </c>
      <c r="J6">
        <v>118.55999755859375</v>
      </c>
      <c r="K6">
        <v>1.6400000000000001E-2</v>
      </c>
      <c r="L6">
        <v>448.65</v>
      </c>
      <c r="M6">
        <v>524.760009765625</v>
      </c>
      <c r="N6">
        <v>0.11890000000000001</v>
      </c>
      <c r="O6">
        <v>116.79000091552734</v>
      </c>
      <c r="P6">
        <v>1.5100000000000001E-2</v>
      </c>
      <c r="Q6">
        <v>407.97</v>
      </c>
      <c r="R6">
        <v>1434.6</v>
      </c>
      <c r="S6">
        <v>379.81</v>
      </c>
      <c r="T6">
        <v>1054.79</v>
      </c>
      <c r="U6">
        <v>29.03</v>
      </c>
      <c r="V6">
        <v>-9.7100000000000009</v>
      </c>
      <c r="W6">
        <v>65.55</v>
      </c>
      <c r="X6">
        <v>-7.48</v>
      </c>
      <c r="Y6">
        <v>-17.93</v>
      </c>
      <c r="Z6">
        <v>-1.49</v>
      </c>
    </row>
    <row r="7" spans="1:26" x14ac:dyDescent="0.35">
      <c r="A7">
        <v>61</v>
      </c>
      <c r="B7" t="s">
        <v>133</v>
      </c>
      <c r="C7">
        <v>6740.58984375</v>
      </c>
      <c r="D7">
        <v>1.5422</v>
      </c>
      <c r="E7">
        <v>637.75</v>
      </c>
      <c r="F7">
        <v>9.4E-2</v>
      </c>
      <c r="G7">
        <v>6102.84</v>
      </c>
      <c r="H7">
        <v>7703.89990234375</v>
      </c>
      <c r="I7">
        <v>1.7601</v>
      </c>
      <c r="J7">
        <v>730.5999755859375</v>
      </c>
      <c r="K7">
        <v>0.1013</v>
      </c>
      <c r="L7">
        <v>6973.3</v>
      </c>
      <c r="M7">
        <v>7642.06005859375</v>
      </c>
      <c r="N7">
        <v>1.7311000000000001</v>
      </c>
      <c r="O7">
        <v>818.32000732421875</v>
      </c>
      <c r="P7">
        <v>0.1055</v>
      </c>
      <c r="Q7">
        <v>6823.74</v>
      </c>
      <c r="R7">
        <v>22086.55</v>
      </c>
      <c r="S7">
        <v>2186.67</v>
      </c>
      <c r="T7">
        <v>19899.88</v>
      </c>
      <c r="U7">
        <v>6.74</v>
      </c>
      <c r="V7">
        <v>13.28</v>
      </c>
      <c r="W7">
        <v>14.29</v>
      </c>
      <c r="X7">
        <v>-0.8</v>
      </c>
      <c r="Y7">
        <v>14.56</v>
      </c>
      <c r="Z7">
        <v>12.01</v>
      </c>
    </row>
    <row r="8" spans="1:26" x14ac:dyDescent="0.35">
      <c r="A8">
        <v>62</v>
      </c>
      <c r="B8" t="s">
        <v>134</v>
      </c>
      <c r="C8">
        <v>7804.43994140625</v>
      </c>
      <c r="D8">
        <v>1.7856000000000001</v>
      </c>
      <c r="E8">
        <v>850.8900146484375</v>
      </c>
      <c r="F8">
        <v>0.1255</v>
      </c>
      <c r="G8">
        <v>6953.55</v>
      </c>
      <c r="H8">
        <v>8303.150390625</v>
      </c>
      <c r="I8">
        <v>1.897</v>
      </c>
      <c r="J8">
        <v>911.96002197265625</v>
      </c>
      <c r="K8">
        <v>0.1265</v>
      </c>
      <c r="L8">
        <v>7391.19</v>
      </c>
      <c r="M8">
        <v>8172.5400390625</v>
      </c>
      <c r="N8">
        <v>1.8512999999999999</v>
      </c>
      <c r="O8">
        <v>893.72998046875</v>
      </c>
      <c r="P8">
        <v>0.1152</v>
      </c>
      <c r="Q8">
        <v>7278.81</v>
      </c>
      <c r="R8">
        <v>24280.13</v>
      </c>
      <c r="S8">
        <v>2656.58</v>
      </c>
      <c r="T8">
        <v>21623.55</v>
      </c>
      <c r="U8">
        <v>2.41</v>
      </c>
      <c r="V8">
        <v>2.59</v>
      </c>
      <c r="W8">
        <v>6.39</v>
      </c>
      <c r="X8">
        <v>-1.57</v>
      </c>
      <c r="Y8">
        <v>7.18</v>
      </c>
      <c r="Z8">
        <v>-2</v>
      </c>
    </row>
    <row r="9" spans="1:26" x14ac:dyDescent="0.35">
      <c r="A9">
        <v>73</v>
      </c>
      <c r="B9" t="s">
        <v>145</v>
      </c>
      <c r="C9">
        <v>9939.099609375</v>
      </c>
      <c r="D9">
        <v>2.274</v>
      </c>
      <c r="E9">
        <v>5112.64990234375</v>
      </c>
      <c r="F9">
        <v>0.75380000000000003</v>
      </c>
      <c r="G9">
        <v>4826.45</v>
      </c>
      <c r="H9">
        <v>10179.3896484375</v>
      </c>
      <c r="I9">
        <v>2.3256000000000001</v>
      </c>
      <c r="J9">
        <v>5259.240234375</v>
      </c>
      <c r="K9">
        <v>0.72919999999999996</v>
      </c>
      <c r="L9">
        <v>4920.1499999999996</v>
      </c>
      <c r="M9">
        <v>10409</v>
      </c>
      <c r="N9">
        <v>2.3578999999999999</v>
      </c>
      <c r="O9">
        <v>5747.35009765625</v>
      </c>
      <c r="P9">
        <v>0.7409</v>
      </c>
      <c r="Q9">
        <v>4661.6499999999996</v>
      </c>
      <c r="R9">
        <v>30527.49</v>
      </c>
      <c r="S9">
        <v>16119.24</v>
      </c>
      <c r="T9">
        <v>14408.25</v>
      </c>
      <c r="U9">
        <v>2.34</v>
      </c>
      <c r="V9">
        <v>6.07</v>
      </c>
      <c r="W9">
        <v>2.42</v>
      </c>
      <c r="X9">
        <v>2.2599999999999998</v>
      </c>
      <c r="Y9">
        <v>2.87</v>
      </c>
      <c r="Z9">
        <v>9.2799999999999994</v>
      </c>
    </row>
    <row r="10" spans="1:26" x14ac:dyDescent="0.35">
      <c r="A10">
        <v>42</v>
      </c>
      <c r="B10" t="s">
        <v>114</v>
      </c>
      <c r="C10">
        <v>2446.989990234375</v>
      </c>
      <c r="D10">
        <v>0.55989999999999995</v>
      </c>
      <c r="E10">
        <v>508.5</v>
      </c>
      <c r="F10">
        <v>7.4999999999999997E-2</v>
      </c>
      <c r="G10">
        <v>1938.49</v>
      </c>
      <c r="H10">
        <v>2622.469970703125</v>
      </c>
      <c r="I10">
        <v>0.59909999999999997</v>
      </c>
      <c r="J10">
        <v>506.64999389648438</v>
      </c>
      <c r="K10">
        <v>7.0300000000000001E-2</v>
      </c>
      <c r="L10">
        <v>2115.8200000000002</v>
      </c>
      <c r="M10">
        <v>2645.580078125</v>
      </c>
      <c r="N10">
        <v>0.59930000000000005</v>
      </c>
      <c r="O10">
        <v>532.16998291015625</v>
      </c>
      <c r="P10">
        <v>6.8599999999999994E-2</v>
      </c>
      <c r="Q10">
        <v>2113.41</v>
      </c>
      <c r="R10">
        <v>7715.04</v>
      </c>
      <c r="S10">
        <v>1547.32</v>
      </c>
      <c r="T10">
        <v>6167.72</v>
      </c>
      <c r="U10">
        <v>4.03</v>
      </c>
      <c r="V10">
        <v>2.34</v>
      </c>
      <c r="W10">
        <v>7.17</v>
      </c>
      <c r="X10">
        <v>0.88</v>
      </c>
      <c r="Y10">
        <v>-0.36</v>
      </c>
      <c r="Z10">
        <v>5.04</v>
      </c>
    </row>
    <row r="11" spans="1:26" x14ac:dyDescent="0.35">
      <c r="A11">
        <v>68</v>
      </c>
      <c r="B11" t="s">
        <v>140</v>
      </c>
      <c r="C11">
        <v>2073</v>
      </c>
      <c r="D11">
        <v>0.4743</v>
      </c>
      <c r="E11">
        <v>1010.8900146484375</v>
      </c>
      <c r="F11">
        <v>0.14910000000000001</v>
      </c>
      <c r="G11">
        <v>1062.1099999999999</v>
      </c>
      <c r="H11">
        <v>2213.2099609375</v>
      </c>
      <c r="I11">
        <v>0.50560000000000005</v>
      </c>
      <c r="J11">
        <v>1070.8199462890625</v>
      </c>
      <c r="K11">
        <v>0.14849999999999999</v>
      </c>
      <c r="L11">
        <v>1142.3900000000001</v>
      </c>
      <c r="M11">
        <v>2029.8199462890625</v>
      </c>
      <c r="N11">
        <v>0.45979999999999999</v>
      </c>
      <c r="O11">
        <v>1162.760009765625</v>
      </c>
      <c r="P11">
        <v>0.14990000000000001</v>
      </c>
      <c r="Q11">
        <v>867.06</v>
      </c>
      <c r="R11">
        <v>6316.03</v>
      </c>
      <c r="S11">
        <v>3244.47</v>
      </c>
      <c r="T11">
        <v>3071.56</v>
      </c>
      <c r="U11">
        <v>-0.76</v>
      </c>
      <c r="V11">
        <v>7.26</v>
      </c>
      <c r="W11">
        <v>6.76</v>
      </c>
      <c r="X11">
        <v>-8.2899999999999991</v>
      </c>
      <c r="Y11">
        <v>5.93</v>
      </c>
      <c r="Z11">
        <v>8.59</v>
      </c>
    </row>
    <row r="12" spans="1:26" x14ac:dyDescent="0.35">
      <c r="A12">
        <v>22</v>
      </c>
      <c r="B12" t="s">
        <v>94</v>
      </c>
      <c r="C12">
        <v>451.66000366210938</v>
      </c>
      <c r="D12">
        <v>0.1033</v>
      </c>
      <c r="E12">
        <v>1541.8499755859375</v>
      </c>
      <c r="F12">
        <v>0.2273</v>
      </c>
      <c r="G12">
        <v>-1090.19</v>
      </c>
      <c r="H12">
        <v>452.58999633789063</v>
      </c>
      <c r="I12">
        <v>0.10340000000000001</v>
      </c>
      <c r="J12">
        <v>1373.2099609375</v>
      </c>
      <c r="K12">
        <v>0.19040000000000001</v>
      </c>
      <c r="L12">
        <v>-920.62</v>
      </c>
      <c r="M12">
        <v>453.35000610351563</v>
      </c>
      <c r="N12">
        <v>0.1027</v>
      </c>
      <c r="O12">
        <v>1419.93994140625</v>
      </c>
      <c r="P12">
        <v>0.183</v>
      </c>
      <c r="Q12">
        <v>-966.59</v>
      </c>
      <c r="R12">
        <v>1357.6</v>
      </c>
      <c r="S12">
        <v>4335</v>
      </c>
      <c r="T12">
        <v>-2977.4</v>
      </c>
      <c r="U12">
        <v>0.19</v>
      </c>
      <c r="V12">
        <v>-3.77</v>
      </c>
      <c r="W12">
        <v>0.21</v>
      </c>
      <c r="X12">
        <v>0.17</v>
      </c>
      <c r="Y12">
        <v>-10.94</v>
      </c>
      <c r="Z12">
        <v>3.4</v>
      </c>
    </row>
    <row r="13" spans="1:26" x14ac:dyDescent="0.35">
      <c r="A13">
        <v>57</v>
      </c>
      <c r="B13" t="s">
        <v>129</v>
      </c>
      <c r="C13">
        <v>1875.56005859375</v>
      </c>
      <c r="D13">
        <v>0.42909999999999998</v>
      </c>
      <c r="E13">
        <v>157.39999389648438</v>
      </c>
      <c r="F13">
        <v>2.3199999999999998E-2</v>
      </c>
      <c r="G13">
        <v>1718.16</v>
      </c>
      <c r="H13">
        <v>2097.719970703125</v>
      </c>
      <c r="I13">
        <v>0.4793</v>
      </c>
      <c r="J13">
        <v>174.33000183105469</v>
      </c>
      <c r="K13">
        <v>2.4199999999999999E-2</v>
      </c>
      <c r="L13">
        <v>1923.39</v>
      </c>
      <c r="M13">
        <v>1974.260009765625</v>
      </c>
      <c r="N13">
        <v>0.44719999999999999</v>
      </c>
      <c r="O13">
        <v>177.82000732421875</v>
      </c>
      <c r="P13">
        <v>2.29E-2</v>
      </c>
      <c r="Q13">
        <v>1796.44</v>
      </c>
      <c r="R13">
        <v>5947.54</v>
      </c>
      <c r="S13">
        <v>509.55</v>
      </c>
      <c r="T13">
        <v>5437.99</v>
      </c>
      <c r="U13">
        <v>2.98</v>
      </c>
      <c r="V13">
        <v>6.38</v>
      </c>
      <c r="W13">
        <v>11.84</v>
      </c>
      <c r="X13">
        <v>-5.89</v>
      </c>
      <c r="Y13">
        <v>10.76</v>
      </c>
      <c r="Z13">
        <v>2</v>
      </c>
    </row>
    <row r="14" spans="1:26" x14ac:dyDescent="0.35">
      <c r="A14">
        <v>69</v>
      </c>
      <c r="B14" t="s">
        <v>141</v>
      </c>
      <c r="C14">
        <v>3048.780029296875</v>
      </c>
      <c r="D14">
        <v>0.69750000000000001</v>
      </c>
      <c r="E14">
        <v>966.8599853515625</v>
      </c>
      <c r="F14">
        <v>0.1426</v>
      </c>
      <c r="G14">
        <v>2081.92</v>
      </c>
      <c r="H14">
        <v>2723.340087890625</v>
      </c>
      <c r="I14">
        <v>0.62219999999999998</v>
      </c>
      <c r="J14">
        <v>964.27001953125</v>
      </c>
      <c r="K14">
        <v>0.13370000000000001</v>
      </c>
      <c r="L14">
        <v>1759.07</v>
      </c>
      <c r="M14">
        <v>2703.669921875</v>
      </c>
      <c r="N14">
        <v>0.61240000000000006</v>
      </c>
      <c r="O14">
        <v>1043.5999755859375</v>
      </c>
      <c r="P14">
        <v>0.13450000000000001</v>
      </c>
      <c r="Q14">
        <v>1660.07</v>
      </c>
      <c r="R14">
        <v>8475.7900000000009</v>
      </c>
      <c r="S14">
        <v>2974.73</v>
      </c>
      <c r="T14">
        <v>5501.06</v>
      </c>
      <c r="U14">
        <v>-5.7</v>
      </c>
      <c r="V14">
        <v>3.98</v>
      </c>
      <c r="W14">
        <v>-10.67</v>
      </c>
      <c r="X14">
        <v>-0.72</v>
      </c>
      <c r="Y14">
        <v>-0.27</v>
      </c>
      <c r="Z14">
        <v>8.23</v>
      </c>
    </row>
    <row r="15" spans="1:26" x14ac:dyDescent="0.35">
      <c r="A15">
        <v>10</v>
      </c>
      <c r="B15" t="s">
        <v>82</v>
      </c>
      <c r="C15">
        <v>10994.0302734375</v>
      </c>
      <c r="D15">
        <v>2.5154000000000001</v>
      </c>
      <c r="E15">
        <v>133.13999938964844</v>
      </c>
      <c r="F15">
        <v>1.9599999999999999E-2</v>
      </c>
      <c r="G15">
        <v>10860.89</v>
      </c>
      <c r="H15">
        <v>12752.3896484375</v>
      </c>
      <c r="I15">
        <v>2.9135</v>
      </c>
      <c r="J15">
        <v>395.989990234375</v>
      </c>
      <c r="K15">
        <v>5.4899999999999997E-2</v>
      </c>
      <c r="L15">
        <v>12356.4</v>
      </c>
      <c r="M15">
        <v>12007.48046875</v>
      </c>
      <c r="N15">
        <v>2.72</v>
      </c>
      <c r="O15">
        <v>124.98000335693359</v>
      </c>
      <c r="P15">
        <v>1.61E-2</v>
      </c>
      <c r="Q15">
        <v>11882.5</v>
      </c>
      <c r="R15">
        <v>35753.9</v>
      </c>
      <c r="S15">
        <v>654.11</v>
      </c>
      <c r="T15">
        <v>35099.79</v>
      </c>
      <c r="U15">
        <v>5.08</v>
      </c>
      <c r="V15">
        <v>64.489999999999995</v>
      </c>
      <c r="W15">
        <v>15.99</v>
      </c>
      <c r="X15">
        <v>-5.84</v>
      </c>
      <c r="Y15">
        <v>197.42</v>
      </c>
      <c r="Z15">
        <v>-68.44</v>
      </c>
    </row>
    <row r="16" spans="1:26" x14ac:dyDescent="0.35">
      <c r="A16">
        <v>90</v>
      </c>
      <c r="B16" t="s">
        <v>162</v>
      </c>
      <c r="C16">
        <v>92</v>
      </c>
      <c r="D16">
        <v>2.1000000000000001E-2</v>
      </c>
      <c r="E16">
        <v>579.530029296875</v>
      </c>
      <c r="F16">
        <v>8.5400000000000004E-2</v>
      </c>
      <c r="G16">
        <v>-487.53</v>
      </c>
      <c r="H16">
        <v>72.389999389648438</v>
      </c>
      <c r="I16">
        <v>1.6500000000000001E-2</v>
      </c>
      <c r="J16">
        <v>654.58001708984375</v>
      </c>
      <c r="K16">
        <v>9.0800000000000006E-2</v>
      </c>
      <c r="L16">
        <v>-582.19000000000005</v>
      </c>
      <c r="M16">
        <v>88.709999084472656</v>
      </c>
      <c r="N16">
        <v>2.01E-2</v>
      </c>
      <c r="O16">
        <v>792.510009765625</v>
      </c>
      <c r="P16">
        <v>0.1022</v>
      </c>
      <c r="Q16">
        <v>-703.8</v>
      </c>
      <c r="R16">
        <v>253.1</v>
      </c>
      <c r="S16">
        <v>2026.62</v>
      </c>
      <c r="T16">
        <v>-1773.52</v>
      </c>
      <c r="U16">
        <v>0.61</v>
      </c>
      <c r="V16">
        <v>17.010000000000002</v>
      </c>
      <c r="W16">
        <v>-21.32</v>
      </c>
      <c r="X16">
        <v>22.54</v>
      </c>
      <c r="Y16">
        <v>12.95</v>
      </c>
      <c r="Z16">
        <v>21.07</v>
      </c>
    </row>
    <row r="17" spans="1:26" x14ac:dyDescent="0.35">
      <c r="A17">
        <v>18</v>
      </c>
      <c r="B17" t="s">
        <v>90</v>
      </c>
      <c r="C17">
        <v>183.69999694824219</v>
      </c>
      <c r="D17">
        <v>4.2000000000000003E-2</v>
      </c>
      <c r="E17">
        <v>512.719970703125</v>
      </c>
      <c r="F17">
        <v>7.5600000000000001E-2</v>
      </c>
      <c r="G17">
        <v>-329.02</v>
      </c>
      <c r="H17">
        <v>295.54998779296875</v>
      </c>
      <c r="I17">
        <v>6.7500000000000004E-2</v>
      </c>
      <c r="J17">
        <v>994.15997314453125</v>
      </c>
      <c r="K17">
        <v>0.13780000000000001</v>
      </c>
      <c r="L17">
        <v>-698.61</v>
      </c>
      <c r="M17">
        <v>317.92999267578125</v>
      </c>
      <c r="N17">
        <v>7.1999999999999995E-2</v>
      </c>
      <c r="O17">
        <v>1028.300048828125</v>
      </c>
      <c r="P17">
        <v>0.1326</v>
      </c>
      <c r="Q17">
        <v>-710.37</v>
      </c>
      <c r="R17">
        <v>797.18</v>
      </c>
      <c r="S17">
        <v>2535.1799999999998</v>
      </c>
      <c r="T17">
        <v>-1738</v>
      </c>
      <c r="U17">
        <v>34.229999999999997</v>
      </c>
      <c r="V17">
        <v>48.67</v>
      </c>
      <c r="W17">
        <v>60.89</v>
      </c>
      <c r="X17">
        <v>7.57</v>
      </c>
      <c r="Y17">
        <v>93.9</v>
      </c>
      <c r="Z17">
        <v>3.43</v>
      </c>
    </row>
    <row r="18" spans="1:26" x14ac:dyDescent="0.35">
      <c r="A18">
        <v>9</v>
      </c>
      <c r="B18" t="s">
        <v>81</v>
      </c>
      <c r="C18">
        <v>4738.580078125</v>
      </c>
      <c r="D18">
        <v>1.0842000000000001</v>
      </c>
      <c r="E18">
        <v>1135.47998046875</v>
      </c>
      <c r="F18">
        <v>0.16739999999999999</v>
      </c>
      <c r="G18">
        <v>3603.1</v>
      </c>
      <c r="H18">
        <v>5364.759765625</v>
      </c>
      <c r="I18">
        <v>1.2257</v>
      </c>
      <c r="J18">
        <v>1338.489990234375</v>
      </c>
      <c r="K18">
        <v>0.18559999999999999</v>
      </c>
      <c r="L18">
        <v>4026.27</v>
      </c>
      <c r="M18">
        <v>5424.35009765625</v>
      </c>
      <c r="N18">
        <v>1.2287999999999999</v>
      </c>
      <c r="O18">
        <v>1281.6800537109375</v>
      </c>
      <c r="P18">
        <v>0.16520000000000001</v>
      </c>
      <c r="Q18">
        <v>4142.67</v>
      </c>
      <c r="R18">
        <v>15527.69</v>
      </c>
      <c r="S18">
        <v>3755.65</v>
      </c>
      <c r="T18">
        <v>11772.04</v>
      </c>
      <c r="U18">
        <v>7.16</v>
      </c>
      <c r="V18">
        <v>6.82</v>
      </c>
      <c r="W18">
        <v>13.21</v>
      </c>
      <c r="X18">
        <v>1.1100000000000001</v>
      </c>
      <c r="Y18">
        <v>17.88</v>
      </c>
      <c r="Z18">
        <v>-4.24</v>
      </c>
    </row>
    <row r="19" spans="1:26" x14ac:dyDescent="0.35">
      <c r="A19">
        <v>74</v>
      </c>
      <c r="B19" t="s">
        <v>146</v>
      </c>
      <c r="C19">
        <v>2314.419921875</v>
      </c>
      <c r="D19">
        <v>0.52949999999999997</v>
      </c>
      <c r="E19">
        <v>9234.759765625</v>
      </c>
      <c r="F19">
        <v>1.3615999999999999</v>
      </c>
      <c r="G19">
        <v>-6920.34</v>
      </c>
      <c r="H19">
        <v>2073.64990234375</v>
      </c>
      <c r="I19">
        <v>0.4738</v>
      </c>
      <c r="J19">
        <v>10759.8095703125</v>
      </c>
      <c r="K19">
        <v>1.4919</v>
      </c>
      <c r="L19">
        <v>-8686.16</v>
      </c>
      <c r="M19">
        <v>3358.840087890625</v>
      </c>
      <c r="N19">
        <v>0.76090000000000002</v>
      </c>
      <c r="O19">
        <v>12780.1796875</v>
      </c>
      <c r="P19">
        <v>1.6475</v>
      </c>
      <c r="Q19">
        <v>-9421.34</v>
      </c>
      <c r="R19">
        <v>7746.91</v>
      </c>
      <c r="S19">
        <v>32774.75</v>
      </c>
      <c r="T19">
        <v>-25027.84</v>
      </c>
      <c r="U19">
        <v>25.79</v>
      </c>
      <c r="V19">
        <v>17.649999999999999</v>
      </c>
      <c r="W19">
        <v>-10.4</v>
      </c>
      <c r="X19">
        <v>61.98</v>
      </c>
      <c r="Y19">
        <v>16.510000000000002</v>
      </c>
      <c r="Z19">
        <v>18.78</v>
      </c>
    </row>
    <row r="20" spans="1:26" x14ac:dyDescent="0.35">
      <c r="A20">
        <v>45</v>
      </c>
      <c r="B20" t="s">
        <v>117</v>
      </c>
      <c r="C20">
        <v>5.2899999618530273</v>
      </c>
      <c r="D20">
        <v>1.1999999999999999E-3</v>
      </c>
      <c r="E20">
        <v>11.649999618530273</v>
      </c>
      <c r="F20">
        <v>1.6999999999999999E-3</v>
      </c>
      <c r="G20">
        <v>-6.36</v>
      </c>
      <c r="H20">
        <v>4.940000057220459</v>
      </c>
      <c r="I20">
        <v>1.1000000000000001E-3</v>
      </c>
      <c r="J20">
        <v>12.399999618530273</v>
      </c>
      <c r="K20">
        <v>1.6999999999999999E-3</v>
      </c>
      <c r="L20">
        <v>-7.46</v>
      </c>
      <c r="M20">
        <v>6.6399998664855957</v>
      </c>
      <c r="N20">
        <v>1.5E-3</v>
      </c>
      <c r="O20">
        <v>11.970000267028809</v>
      </c>
      <c r="P20">
        <v>1.5E-3</v>
      </c>
      <c r="Q20">
        <v>-5.33</v>
      </c>
      <c r="R20">
        <v>16.87</v>
      </c>
      <c r="S20">
        <v>36.020000000000003</v>
      </c>
      <c r="T20">
        <v>-19.149999999999999</v>
      </c>
      <c r="U20">
        <v>13.9</v>
      </c>
      <c r="V20">
        <v>1.49</v>
      </c>
      <c r="W20">
        <v>-6.62</v>
      </c>
      <c r="X20">
        <v>34.409999999999997</v>
      </c>
      <c r="Y20">
        <v>6.44</v>
      </c>
      <c r="Z20">
        <v>-3.47</v>
      </c>
    </row>
    <row r="21" spans="1:26" x14ac:dyDescent="0.35">
      <c r="A21">
        <v>52</v>
      </c>
      <c r="B21" t="s">
        <v>124</v>
      </c>
      <c r="C21">
        <v>6780.81005859375</v>
      </c>
      <c r="D21">
        <v>1.5513999999999999</v>
      </c>
      <c r="E21">
        <v>791.010009765625</v>
      </c>
      <c r="F21">
        <v>0.1166</v>
      </c>
      <c r="G21">
        <v>5989.8</v>
      </c>
      <c r="H21">
        <v>6333.990234375</v>
      </c>
      <c r="I21">
        <v>1.4471000000000001</v>
      </c>
      <c r="J21">
        <v>1418.550048828125</v>
      </c>
      <c r="K21">
        <v>0.19670000000000001</v>
      </c>
      <c r="L21">
        <v>4915.4399999999996</v>
      </c>
      <c r="M21">
        <v>5983.509765625</v>
      </c>
      <c r="N21">
        <v>1.3553999999999999</v>
      </c>
      <c r="O21">
        <v>2128.840087890625</v>
      </c>
      <c r="P21">
        <v>0.27439999999999998</v>
      </c>
      <c r="Q21">
        <v>3854.67</v>
      </c>
      <c r="R21">
        <v>19098.310000000001</v>
      </c>
      <c r="S21">
        <v>4338.3999999999996</v>
      </c>
      <c r="T21">
        <v>14759.91</v>
      </c>
      <c r="U21">
        <v>-6.06</v>
      </c>
      <c r="V21">
        <v>64.7</v>
      </c>
      <c r="W21">
        <v>-6.59</v>
      </c>
      <c r="X21">
        <v>-5.53</v>
      </c>
      <c r="Y21">
        <v>79.33</v>
      </c>
      <c r="Z21">
        <v>50.07</v>
      </c>
    </row>
    <row r="22" spans="1:26" x14ac:dyDescent="0.35">
      <c r="A22">
        <v>4</v>
      </c>
      <c r="B22" t="s">
        <v>76</v>
      </c>
      <c r="C22">
        <v>624.77001953125</v>
      </c>
      <c r="D22">
        <v>0.1429</v>
      </c>
      <c r="E22">
        <v>60.490001678466797</v>
      </c>
      <c r="F22">
        <v>8.8999999999999999E-3</v>
      </c>
      <c r="G22">
        <v>564.28</v>
      </c>
      <c r="H22">
        <v>853.989990234375</v>
      </c>
      <c r="I22">
        <v>0.1951</v>
      </c>
      <c r="J22">
        <v>45.680000305175781</v>
      </c>
      <c r="K22">
        <v>6.3E-3</v>
      </c>
      <c r="L22">
        <v>808.31</v>
      </c>
      <c r="M22">
        <v>918.80999755859375</v>
      </c>
      <c r="N22">
        <v>0.20810000000000001</v>
      </c>
      <c r="O22">
        <v>79.849998474121094</v>
      </c>
      <c r="P22">
        <v>1.03E-2</v>
      </c>
      <c r="Q22">
        <v>838.96</v>
      </c>
      <c r="R22">
        <v>2397.5700000000002</v>
      </c>
      <c r="S22">
        <v>186.02</v>
      </c>
      <c r="T22">
        <v>2211.5500000000002</v>
      </c>
      <c r="U22">
        <v>22.14</v>
      </c>
      <c r="V22">
        <v>25.16</v>
      </c>
      <c r="W22">
        <v>36.69</v>
      </c>
      <c r="X22">
        <v>7.59</v>
      </c>
      <c r="Y22">
        <v>-24.48</v>
      </c>
      <c r="Z22">
        <v>74.8</v>
      </c>
    </row>
    <row r="23" spans="1:26" x14ac:dyDescent="0.35">
      <c r="A23">
        <v>8</v>
      </c>
      <c r="B23" t="s">
        <v>80</v>
      </c>
      <c r="C23">
        <v>1637.1199951171875</v>
      </c>
      <c r="D23">
        <v>0.37459999999999999</v>
      </c>
      <c r="E23">
        <v>4191.6201171875</v>
      </c>
      <c r="F23">
        <v>0.61799999999999999</v>
      </c>
      <c r="G23">
        <v>-2554.5</v>
      </c>
      <c r="H23">
        <v>1695.0899658203125</v>
      </c>
      <c r="I23">
        <v>0.38729999999999998</v>
      </c>
      <c r="J23">
        <v>4741.8701171875</v>
      </c>
      <c r="K23">
        <v>0.65749999999999997</v>
      </c>
      <c r="L23">
        <v>-3046.78</v>
      </c>
      <c r="M23">
        <v>1890.989990234375</v>
      </c>
      <c r="N23">
        <v>0.4284</v>
      </c>
      <c r="O23">
        <v>5870.169921875</v>
      </c>
      <c r="P23">
        <v>0.75670000000000004</v>
      </c>
      <c r="Q23">
        <v>-3979.18</v>
      </c>
      <c r="R23">
        <v>5223.2</v>
      </c>
      <c r="S23">
        <v>14803.66</v>
      </c>
      <c r="T23">
        <v>-9580.4599999999991</v>
      </c>
      <c r="U23">
        <v>7.55</v>
      </c>
      <c r="V23">
        <v>18.46</v>
      </c>
      <c r="W23">
        <v>3.54</v>
      </c>
      <c r="X23">
        <v>11.56</v>
      </c>
      <c r="Y23">
        <v>13.13</v>
      </c>
      <c r="Z23">
        <v>23.79</v>
      </c>
    </row>
    <row r="24" spans="1:26" x14ac:dyDescent="0.35">
      <c r="A24">
        <v>7</v>
      </c>
      <c r="B24" t="s">
        <v>79</v>
      </c>
      <c r="C24">
        <v>1940.6800537109375</v>
      </c>
      <c r="D24">
        <v>0.44400000000000001</v>
      </c>
      <c r="E24">
        <v>3832.139892578125</v>
      </c>
      <c r="F24">
        <v>0.56499999999999995</v>
      </c>
      <c r="G24">
        <v>-1891.46</v>
      </c>
      <c r="H24">
        <v>2192.81005859375</v>
      </c>
      <c r="I24">
        <v>0.501</v>
      </c>
      <c r="J24">
        <v>5589.3798828125</v>
      </c>
      <c r="K24">
        <v>0.77500000000000002</v>
      </c>
      <c r="L24">
        <v>-3396.57</v>
      </c>
      <c r="M24">
        <v>2258.39990234375</v>
      </c>
      <c r="N24">
        <v>0.51160000000000005</v>
      </c>
      <c r="O24">
        <v>3651.889892578125</v>
      </c>
      <c r="P24">
        <v>0.4708</v>
      </c>
      <c r="Q24">
        <v>-1393.49</v>
      </c>
      <c r="R24">
        <v>6391.89</v>
      </c>
      <c r="S24">
        <v>13073.41</v>
      </c>
      <c r="T24">
        <v>-6681.52</v>
      </c>
      <c r="U24">
        <v>7.99</v>
      </c>
      <c r="V24">
        <v>5.6</v>
      </c>
      <c r="W24">
        <v>12.99</v>
      </c>
      <c r="X24">
        <v>2.99</v>
      </c>
      <c r="Y24">
        <v>45.86</v>
      </c>
      <c r="Z24">
        <v>-34.659999999999997</v>
      </c>
    </row>
    <row r="25" spans="1:26" x14ac:dyDescent="0.35">
      <c r="A25">
        <v>84</v>
      </c>
      <c r="B25" t="s">
        <v>156</v>
      </c>
      <c r="C25">
        <v>34412.51953125</v>
      </c>
      <c r="D25">
        <v>7.8734000000000002</v>
      </c>
      <c r="E25">
        <v>79300.6875</v>
      </c>
      <c r="F25">
        <v>11.692600000000001</v>
      </c>
      <c r="G25">
        <v>-44888.17</v>
      </c>
      <c r="H25">
        <v>44049.58984375</v>
      </c>
      <c r="I25">
        <v>10.063800000000001</v>
      </c>
      <c r="J25">
        <v>88596.421875</v>
      </c>
      <c r="K25">
        <v>12.284599999999999</v>
      </c>
      <c r="L25">
        <v>-44546.83</v>
      </c>
      <c r="M25">
        <v>53976.30078125</v>
      </c>
      <c r="N25">
        <v>12.227</v>
      </c>
      <c r="O25">
        <v>104824.71875</v>
      </c>
      <c r="P25">
        <v>13.513299999999999</v>
      </c>
      <c r="Q25">
        <v>-50848.42</v>
      </c>
      <c r="R25">
        <v>132438.41</v>
      </c>
      <c r="S25">
        <v>272721.83</v>
      </c>
      <c r="T25">
        <v>-140283.42000000001</v>
      </c>
      <c r="U25">
        <v>25.27</v>
      </c>
      <c r="V25">
        <v>15.02</v>
      </c>
      <c r="W25">
        <v>28</v>
      </c>
      <c r="X25">
        <v>22.54</v>
      </c>
      <c r="Y25">
        <v>11.72</v>
      </c>
      <c r="Z25">
        <v>18.32</v>
      </c>
    </row>
    <row r="26" spans="1:26" x14ac:dyDescent="0.35">
      <c r="A26">
        <v>33</v>
      </c>
      <c r="B26" t="s">
        <v>105</v>
      </c>
      <c r="C26">
        <v>2963.179931640625</v>
      </c>
      <c r="D26">
        <v>0.67800000000000005</v>
      </c>
      <c r="E26">
        <v>2099.4599609375</v>
      </c>
      <c r="F26">
        <v>0.30959999999999999</v>
      </c>
      <c r="G26">
        <v>863.72</v>
      </c>
      <c r="H26">
        <v>2703.5400390625</v>
      </c>
      <c r="I26">
        <v>0.61770000000000003</v>
      </c>
      <c r="J26">
        <v>1410.760009765625</v>
      </c>
      <c r="K26">
        <v>0.1956</v>
      </c>
      <c r="L26">
        <v>1292.78</v>
      </c>
      <c r="M26">
        <v>2656.389892578125</v>
      </c>
      <c r="N26">
        <v>0.60170000000000001</v>
      </c>
      <c r="O26">
        <v>1535.6700439453125</v>
      </c>
      <c r="P26">
        <v>0.19800000000000001</v>
      </c>
      <c r="Q26">
        <v>1120.72</v>
      </c>
      <c r="R26">
        <v>8323.11</v>
      </c>
      <c r="S26">
        <v>5045.8900000000003</v>
      </c>
      <c r="T26">
        <v>3277.22</v>
      </c>
      <c r="U26">
        <v>-5.25</v>
      </c>
      <c r="V26">
        <v>-11.97</v>
      </c>
      <c r="W26">
        <v>-8.76</v>
      </c>
      <c r="X26">
        <v>-1.74</v>
      </c>
      <c r="Y26">
        <v>-32.799999999999997</v>
      </c>
      <c r="Z26">
        <v>8.85</v>
      </c>
    </row>
    <row r="27" spans="1:26" x14ac:dyDescent="0.35">
      <c r="A27">
        <v>36</v>
      </c>
      <c r="B27" t="s">
        <v>108</v>
      </c>
      <c r="C27">
        <v>235.25</v>
      </c>
      <c r="D27">
        <v>5.3800000000000001E-2</v>
      </c>
      <c r="E27">
        <v>20.540000915527344</v>
      </c>
      <c r="F27">
        <v>3.0000000000000001E-3</v>
      </c>
      <c r="G27">
        <v>214.71</v>
      </c>
      <c r="H27">
        <v>383.07000732421875</v>
      </c>
      <c r="I27">
        <v>8.7499999999999994E-2</v>
      </c>
      <c r="J27">
        <v>23.579999923706055</v>
      </c>
      <c r="K27">
        <v>3.3E-3</v>
      </c>
      <c r="L27">
        <v>359.49</v>
      </c>
      <c r="M27">
        <v>559.84002685546875</v>
      </c>
      <c r="N27">
        <v>0.1268</v>
      </c>
      <c r="O27">
        <v>31.180000305175781</v>
      </c>
      <c r="P27">
        <v>4.0000000000000001E-3</v>
      </c>
      <c r="Q27">
        <v>528.66</v>
      </c>
      <c r="R27">
        <v>1178.1600000000001</v>
      </c>
      <c r="S27">
        <v>75.3</v>
      </c>
      <c r="T27">
        <v>1102.8599999999999</v>
      </c>
      <c r="U27">
        <v>54.49</v>
      </c>
      <c r="V27">
        <v>23.52</v>
      </c>
      <c r="W27">
        <v>62.84</v>
      </c>
      <c r="X27">
        <v>46.15</v>
      </c>
      <c r="Y27">
        <v>14.8</v>
      </c>
      <c r="Z27">
        <v>32.229999999999997</v>
      </c>
    </row>
    <row r="28" spans="1:26" x14ac:dyDescent="0.35">
      <c r="A28">
        <v>31</v>
      </c>
      <c r="B28" t="s">
        <v>103</v>
      </c>
      <c r="C28">
        <v>130.05999755859375</v>
      </c>
      <c r="D28">
        <v>2.98E-2</v>
      </c>
      <c r="E28">
        <v>8923.73046875</v>
      </c>
      <c r="F28">
        <v>1.3158000000000001</v>
      </c>
      <c r="G28">
        <v>-8793.67</v>
      </c>
      <c r="H28">
        <v>162.11000061035156</v>
      </c>
      <c r="I28">
        <v>3.6999999999999998E-2</v>
      </c>
      <c r="J28">
        <v>8285.099609375</v>
      </c>
      <c r="K28">
        <v>1.1488</v>
      </c>
      <c r="L28">
        <v>-8122.99</v>
      </c>
      <c r="M28">
        <v>156.35000610351563</v>
      </c>
      <c r="N28">
        <v>3.5400000000000001E-2</v>
      </c>
      <c r="O28">
        <v>14580.1904296875</v>
      </c>
      <c r="P28">
        <v>1.8795999999999999</v>
      </c>
      <c r="Q28">
        <v>-14423.84</v>
      </c>
      <c r="R28">
        <v>448.52</v>
      </c>
      <c r="S28">
        <v>31789.02</v>
      </c>
      <c r="T28">
        <v>-31340.5</v>
      </c>
      <c r="U28">
        <v>10.54</v>
      </c>
      <c r="V28">
        <v>34.409999999999997</v>
      </c>
      <c r="W28">
        <v>24.64</v>
      </c>
      <c r="X28">
        <v>-3.55</v>
      </c>
      <c r="Y28">
        <v>-7.16</v>
      </c>
      <c r="Z28">
        <v>75.98</v>
      </c>
    </row>
    <row r="29" spans="1:26" x14ac:dyDescent="0.35">
      <c r="A29">
        <v>3</v>
      </c>
      <c r="B29" t="s">
        <v>75</v>
      </c>
      <c r="C29">
        <v>6124.2099609375</v>
      </c>
      <c r="D29">
        <v>1.4012</v>
      </c>
      <c r="E29">
        <v>180.47000122070313</v>
      </c>
      <c r="F29">
        <v>2.6599999999999999E-2</v>
      </c>
      <c r="G29">
        <v>5943.74</v>
      </c>
      <c r="H29">
        <v>6296.52978515625</v>
      </c>
      <c r="I29">
        <v>1.4384999999999999</v>
      </c>
      <c r="J29">
        <v>234.08999633789063</v>
      </c>
      <c r="K29">
        <v>3.2500000000000001E-2</v>
      </c>
      <c r="L29">
        <v>6062.44</v>
      </c>
      <c r="M29">
        <v>7016.18017578125</v>
      </c>
      <c r="N29">
        <v>1.5892999999999999</v>
      </c>
      <c r="O29">
        <v>289.57998657226563</v>
      </c>
      <c r="P29">
        <v>3.73E-2</v>
      </c>
      <c r="Q29">
        <v>6726.6</v>
      </c>
      <c r="R29">
        <v>19436.919999999998</v>
      </c>
      <c r="S29">
        <v>704.14</v>
      </c>
      <c r="T29">
        <v>18732.78</v>
      </c>
      <c r="U29">
        <v>7.12</v>
      </c>
      <c r="V29">
        <v>26.71</v>
      </c>
      <c r="W29">
        <v>2.81</v>
      </c>
      <c r="X29">
        <v>11.43</v>
      </c>
      <c r="Y29">
        <v>29.71</v>
      </c>
      <c r="Z29">
        <v>23.7</v>
      </c>
    </row>
    <row r="30" spans="1:26" x14ac:dyDescent="0.35">
      <c r="A30">
        <v>64</v>
      </c>
      <c r="B30" t="s">
        <v>136</v>
      </c>
      <c r="C30">
        <v>2490.06005859375</v>
      </c>
      <c r="D30">
        <v>0.56969999999999998</v>
      </c>
      <c r="E30">
        <v>723.82000732421875</v>
      </c>
      <c r="F30">
        <v>0.1067</v>
      </c>
      <c r="G30">
        <v>1766.24</v>
      </c>
      <c r="H30">
        <v>2504.85009765625</v>
      </c>
      <c r="I30">
        <v>0.57230000000000003</v>
      </c>
      <c r="J30">
        <v>679.22998046875</v>
      </c>
      <c r="K30">
        <v>9.4200000000000006E-2</v>
      </c>
      <c r="L30">
        <v>1825.62</v>
      </c>
      <c r="M30">
        <v>2462.2099609375</v>
      </c>
      <c r="N30">
        <v>0.55779999999999996</v>
      </c>
      <c r="O30">
        <v>627.1500244140625</v>
      </c>
      <c r="P30">
        <v>8.0799999999999997E-2</v>
      </c>
      <c r="Q30">
        <v>1835.06</v>
      </c>
      <c r="R30">
        <v>7457.12</v>
      </c>
      <c r="S30">
        <v>2030.2</v>
      </c>
      <c r="T30">
        <v>5426.92</v>
      </c>
      <c r="U30">
        <v>-0.55000000000000004</v>
      </c>
      <c r="V30">
        <v>-6.91</v>
      </c>
      <c r="W30">
        <v>0.59</v>
      </c>
      <c r="X30">
        <v>-1.7</v>
      </c>
      <c r="Y30">
        <v>-6.16</v>
      </c>
      <c r="Z30">
        <v>-7.67</v>
      </c>
    </row>
    <row r="31" spans="1:26" x14ac:dyDescent="0.35">
      <c r="A31">
        <v>93</v>
      </c>
      <c r="B31" t="s">
        <v>165</v>
      </c>
      <c r="C31">
        <v>2416.81005859375</v>
      </c>
      <c r="D31">
        <v>0.55300000000000005</v>
      </c>
      <c r="E31">
        <v>1591.219970703125</v>
      </c>
      <c r="F31">
        <v>0.2346</v>
      </c>
      <c r="G31">
        <v>825.59</v>
      </c>
      <c r="H31">
        <v>2557.550048828125</v>
      </c>
      <c r="I31">
        <v>0.58430000000000004</v>
      </c>
      <c r="J31">
        <v>1718.5999755859375</v>
      </c>
      <c r="K31">
        <v>0.23830000000000001</v>
      </c>
      <c r="L31">
        <v>838.95</v>
      </c>
      <c r="M31">
        <v>2484.760009765625</v>
      </c>
      <c r="N31">
        <v>0.56289999999999996</v>
      </c>
      <c r="O31">
        <v>1964.969970703125</v>
      </c>
      <c r="P31">
        <v>0.25330000000000003</v>
      </c>
      <c r="Q31">
        <v>519.79</v>
      </c>
      <c r="R31">
        <v>7459.12</v>
      </c>
      <c r="S31">
        <v>5274.79</v>
      </c>
      <c r="T31">
        <v>2184.33</v>
      </c>
      <c r="U31">
        <v>1.49</v>
      </c>
      <c r="V31">
        <v>11.17</v>
      </c>
      <c r="W31">
        <v>5.82</v>
      </c>
      <c r="X31">
        <v>-2.85</v>
      </c>
      <c r="Y31">
        <v>8.01</v>
      </c>
      <c r="Z31">
        <v>14.34</v>
      </c>
    </row>
    <row r="32" spans="1:26" x14ac:dyDescent="0.35">
      <c r="A32">
        <v>43</v>
      </c>
      <c r="B32" t="s">
        <v>115</v>
      </c>
      <c r="C32">
        <v>11.859999656677246</v>
      </c>
      <c r="D32">
        <v>2.7000000000000001E-3</v>
      </c>
      <c r="E32">
        <v>6.2399997711181641</v>
      </c>
      <c r="F32">
        <v>8.9999999999999998E-4</v>
      </c>
      <c r="G32">
        <v>5.62</v>
      </c>
      <c r="H32">
        <v>7.2300000190734863</v>
      </c>
      <c r="I32">
        <v>1.6999999999999999E-3</v>
      </c>
      <c r="J32">
        <v>6.4800000190734863</v>
      </c>
      <c r="K32">
        <v>8.9999999999999998E-4</v>
      </c>
      <c r="L32">
        <v>0.75</v>
      </c>
      <c r="M32">
        <v>4.4600000381469727</v>
      </c>
      <c r="N32">
        <v>1E-3</v>
      </c>
      <c r="O32">
        <v>7.2399997711181641</v>
      </c>
      <c r="P32">
        <v>8.9999999999999998E-4</v>
      </c>
      <c r="Q32">
        <v>-2.78</v>
      </c>
      <c r="R32">
        <v>23.55</v>
      </c>
      <c r="S32">
        <v>19.96</v>
      </c>
      <c r="T32">
        <v>3.59</v>
      </c>
      <c r="U32">
        <v>-38.68</v>
      </c>
      <c r="V32">
        <v>7.79</v>
      </c>
      <c r="W32">
        <v>-39.04</v>
      </c>
      <c r="X32">
        <v>-38.31</v>
      </c>
      <c r="Y32">
        <v>3.85</v>
      </c>
      <c r="Z32">
        <v>11.73</v>
      </c>
    </row>
    <row r="33" spans="1:26" x14ac:dyDescent="0.35">
      <c r="A33">
        <v>70</v>
      </c>
      <c r="B33" t="s">
        <v>142</v>
      </c>
      <c r="C33">
        <v>1104.75</v>
      </c>
      <c r="D33">
        <v>0.25280000000000002</v>
      </c>
      <c r="E33">
        <v>1783.6600341796875</v>
      </c>
      <c r="F33">
        <v>0.26300000000000001</v>
      </c>
      <c r="G33">
        <v>-678.91</v>
      </c>
      <c r="H33">
        <v>1143.43994140625</v>
      </c>
      <c r="I33">
        <v>0.26119999999999999</v>
      </c>
      <c r="J33">
        <v>2198.489990234375</v>
      </c>
      <c r="K33">
        <v>0.30480000000000002</v>
      </c>
      <c r="L33">
        <v>-1055.05</v>
      </c>
      <c r="M33">
        <v>1170.4100341796875</v>
      </c>
      <c r="N33">
        <v>0.2651</v>
      </c>
      <c r="O33">
        <v>3123.389892578125</v>
      </c>
      <c r="P33">
        <v>0.40260000000000001</v>
      </c>
      <c r="Q33">
        <v>-1952.98</v>
      </c>
      <c r="R33">
        <v>3418.6</v>
      </c>
      <c r="S33">
        <v>7105.54</v>
      </c>
      <c r="T33">
        <v>-3686.94</v>
      </c>
      <c r="U33">
        <v>2.93</v>
      </c>
      <c r="V33">
        <v>32.659999999999997</v>
      </c>
      <c r="W33">
        <v>3.5</v>
      </c>
      <c r="X33">
        <v>2.36</v>
      </c>
      <c r="Y33">
        <v>23.26</v>
      </c>
      <c r="Z33">
        <v>42.07</v>
      </c>
    </row>
    <row r="34" spans="1:26" x14ac:dyDescent="0.35">
      <c r="A34">
        <v>65</v>
      </c>
      <c r="B34" t="s">
        <v>137</v>
      </c>
      <c r="C34">
        <v>96.25</v>
      </c>
      <c r="D34">
        <v>2.1999999999999999E-2</v>
      </c>
      <c r="E34">
        <v>44.650001525878906</v>
      </c>
      <c r="F34">
        <v>6.6E-3</v>
      </c>
      <c r="G34">
        <v>51.6</v>
      </c>
      <c r="H34">
        <v>91.800003051757813</v>
      </c>
      <c r="I34">
        <v>2.1000000000000001E-2</v>
      </c>
      <c r="J34">
        <v>42.669998168945313</v>
      </c>
      <c r="K34">
        <v>5.8999999999999999E-3</v>
      </c>
      <c r="L34">
        <v>49.13</v>
      </c>
      <c r="M34">
        <v>117.38999938964844</v>
      </c>
      <c r="N34">
        <v>2.6599999999999999E-2</v>
      </c>
      <c r="O34">
        <v>47.040000915527344</v>
      </c>
      <c r="P34">
        <v>6.1000000000000004E-3</v>
      </c>
      <c r="Q34">
        <v>70.349999999999994</v>
      </c>
      <c r="R34">
        <v>305.44</v>
      </c>
      <c r="S34">
        <v>134.36000000000001</v>
      </c>
      <c r="T34">
        <v>171.08</v>
      </c>
      <c r="U34">
        <v>11.63</v>
      </c>
      <c r="V34">
        <v>2.9</v>
      </c>
      <c r="W34">
        <v>-4.62</v>
      </c>
      <c r="X34">
        <v>27.88</v>
      </c>
      <c r="Y34">
        <v>-4.43</v>
      </c>
      <c r="Z34">
        <v>10.24</v>
      </c>
    </row>
    <row r="35" spans="1:26" x14ac:dyDescent="0.35">
      <c r="A35">
        <v>59</v>
      </c>
      <c r="B35" t="s">
        <v>131</v>
      </c>
      <c r="C35">
        <v>479.48001098632813</v>
      </c>
      <c r="D35">
        <v>0.10970000000000001</v>
      </c>
      <c r="E35">
        <v>772.280029296875</v>
      </c>
      <c r="F35">
        <v>0.1139</v>
      </c>
      <c r="G35">
        <v>-292.8</v>
      </c>
      <c r="H35">
        <v>503.45999145507813</v>
      </c>
      <c r="I35">
        <v>0.115</v>
      </c>
      <c r="J35">
        <v>808.55999755859375</v>
      </c>
      <c r="K35">
        <v>0.11210000000000001</v>
      </c>
      <c r="L35">
        <v>-305.10000000000002</v>
      </c>
      <c r="M35">
        <v>436.8900146484375</v>
      </c>
      <c r="N35">
        <v>9.9000000000000005E-2</v>
      </c>
      <c r="O35">
        <v>937.97998046875</v>
      </c>
      <c r="P35">
        <v>0.12089999999999999</v>
      </c>
      <c r="Q35">
        <v>-501.09</v>
      </c>
      <c r="R35">
        <v>1419.83</v>
      </c>
      <c r="S35">
        <v>2518.8200000000002</v>
      </c>
      <c r="T35">
        <v>-1098.99</v>
      </c>
      <c r="U35">
        <v>-4.1100000000000003</v>
      </c>
      <c r="V35">
        <v>10.35</v>
      </c>
      <c r="W35">
        <v>5</v>
      </c>
      <c r="X35">
        <v>-13.22</v>
      </c>
      <c r="Y35">
        <v>4.7</v>
      </c>
      <c r="Z35">
        <v>16.010000000000002</v>
      </c>
    </row>
    <row r="36" spans="1:26" x14ac:dyDescent="0.35">
      <c r="A36">
        <v>28</v>
      </c>
      <c r="B36" t="s">
        <v>100</v>
      </c>
      <c r="C36">
        <v>3205.7099609375</v>
      </c>
      <c r="D36">
        <v>0.73350000000000004</v>
      </c>
      <c r="E36">
        <v>9142.419921875</v>
      </c>
      <c r="F36">
        <v>1.3480000000000001</v>
      </c>
      <c r="G36">
        <v>-5936.71</v>
      </c>
      <c r="H36">
        <v>4059.739990234375</v>
      </c>
      <c r="I36">
        <v>0.92749999999999999</v>
      </c>
      <c r="J36">
        <v>11377.080078125</v>
      </c>
      <c r="K36">
        <v>1.5774999999999999</v>
      </c>
      <c r="L36">
        <v>-7317.34</v>
      </c>
      <c r="M36">
        <v>4495.52001953125</v>
      </c>
      <c r="N36">
        <v>1.0183</v>
      </c>
      <c r="O36">
        <v>14179.7197265625</v>
      </c>
      <c r="P36">
        <v>1.8280000000000001</v>
      </c>
      <c r="Q36">
        <v>-9684.2000000000007</v>
      </c>
      <c r="R36">
        <v>11760.97</v>
      </c>
      <c r="S36">
        <v>34699.22</v>
      </c>
      <c r="T36">
        <v>-22938.25</v>
      </c>
      <c r="U36">
        <v>18.690000000000001</v>
      </c>
      <c r="V36">
        <v>24.54</v>
      </c>
      <c r="W36">
        <v>26.64</v>
      </c>
      <c r="X36">
        <v>10.73</v>
      </c>
      <c r="Y36">
        <v>24.44</v>
      </c>
      <c r="Z36">
        <v>24.63</v>
      </c>
    </row>
    <row r="37" spans="1:26" x14ac:dyDescent="0.35">
      <c r="A37">
        <v>72</v>
      </c>
      <c r="B37" t="s">
        <v>144</v>
      </c>
      <c r="C37">
        <v>11859.3603515625</v>
      </c>
      <c r="D37">
        <v>2.7134</v>
      </c>
      <c r="E37">
        <v>18645.6796875</v>
      </c>
      <c r="F37">
        <v>2.7492000000000001</v>
      </c>
      <c r="G37">
        <v>-6786.32</v>
      </c>
      <c r="H37">
        <v>9251.0703125</v>
      </c>
      <c r="I37">
        <v>2.1135000000000002</v>
      </c>
      <c r="J37">
        <v>17400.279296875</v>
      </c>
      <c r="K37">
        <v>2.4127000000000001</v>
      </c>
      <c r="L37">
        <v>-8149.21</v>
      </c>
      <c r="M37">
        <v>10316.5703125</v>
      </c>
      <c r="N37">
        <v>2.3370000000000002</v>
      </c>
      <c r="O37">
        <v>15752.900390625</v>
      </c>
      <c r="P37">
        <v>2.0308000000000002</v>
      </c>
      <c r="Q37">
        <v>-5436.33</v>
      </c>
      <c r="R37">
        <v>31427</v>
      </c>
      <c r="S37">
        <v>51798.86</v>
      </c>
      <c r="T37">
        <v>-20371.86</v>
      </c>
      <c r="U37">
        <v>-5.24</v>
      </c>
      <c r="V37">
        <v>-8.07</v>
      </c>
      <c r="W37">
        <v>-21.99</v>
      </c>
      <c r="X37">
        <v>11.52</v>
      </c>
      <c r="Y37">
        <v>-6.68</v>
      </c>
      <c r="Z37">
        <v>-9.4700000000000006</v>
      </c>
    </row>
    <row r="38" spans="1:26" x14ac:dyDescent="0.35">
      <c r="A38">
        <v>60</v>
      </c>
      <c r="B38" t="s">
        <v>132</v>
      </c>
      <c r="C38">
        <v>471.97000122070313</v>
      </c>
      <c r="D38">
        <v>0.108</v>
      </c>
      <c r="E38">
        <v>728.08001708984375</v>
      </c>
      <c r="F38">
        <v>0.1074</v>
      </c>
      <c r="G38">
        <v>-256.11</v>
      </c>
      <c r="H38">
        <v>590.92999267578125</v>
      </c>
      <c r="I38">
        <v>0.13500000000000001</v>
      </c>
      <c r="J38">
        <v>894.1099853515625</v>
      </c>
      <c r="K38">
        <v>0.124</v>
      </c>
      <c r="L38">
        <v>-303.18</v>
      </c>
      <c r="M38">
        <v>494.57000732421875</v>
      </c>
      <c r="N38">
        <v>0.112</v>
      </c>
      <c r="O38">
        <v>950.09002685546875</v>
      </c>
      <c r="P38">
        <v>0.1225</v>
      </c>
      <c r="Q38">
        <v>-455.52</v>
      </c>
      <c r="R38">
        <v>1557.47</v>
      </c>
      <c r="S38">
        <v>2572.2800000000002</v>
      </c>
      <c r="T38">
        <v>-1014.81</v>
      </c>
      <c r="U38">
        <v>4.45</v>
      </c>
      <c r="V38">
        <v>14.53</v>
      </c>
      <c r="W38">
        <v>25.2</v>
      </c>
      <c r="X38">
        <v>-16.309999999999999</v>
      </c>
      <c r="Y38">
        <v>22.8</v>
      </c>
      <c r="Z38">
        <v>6.26</v>
      </c>
    </row>
    <row r="39" spans="1:26" x14ac:dyDescent="0.35">
      <c r="A39">
        <v>13</v>
      </c>
      <c r="B39" t="s">
        <v>85</v>
      </c>
      <c r="C39">
        <v>972.32000732421875</v>
      </c>
      <c r="D39">
        <v>0.2225</v>
      </c>
      <c r="E39">
        <v>365.48001098632813</v>
      </c>
      <c r="F39">
        <v>5.3900000000000003E-2</v>
      </c>
      <c r="G39">
        <v>606.84</v>
      </c>
      <c r="H39">
        <v>1127.6500244140625</v>
      </c>
      <c r="I39">
        <v>0.2576</v>
      </c>
      <c r="J39">
        <v>394.82998657226563</v>
      </c>
      <c r="K39">
        <v>5.4699999999999999E-2</v>
      </c>
      <c r="L39">
        <v>732.82</v>
      </c>
      <c r="M39">
        <v>1210.699951171875</v>
      </c>
      <c r="N39">
        <v>0.27429999999999999</v>
      </c>
      <c r="O39">
        <v>437.20001220703125</v>
      </c>
      <c r="P39">
        <v>5.6399999999999999E-2</v>
      </c>
      <c r="Q39">
        <v>773.5</v>
      </c>
      <c r="R39">
        <v>3310.67</v>
      </c>
      <c r="S39">
        <v>1197.51</v>
      </c>
      <c r="T39">
        <v>2113.16</v>
      </c>
      <c r="U39">
        <v>11.67</v>
      </c>
      <c r="V39">
        <v>9.3800000000000008</v>
      </c>
      <c r="W39">
        <v>15.98</v>
      </c>
      <c r="X39">
        <v>7.36</v>
      </c>
      <c r="Y39">
        <v>8.0299999999999994</v>
      </c>
      <c r="Z39">
        <v>10.73</v>
      </c>
    </row>
    <row r="40" spans="1:26" x14ac:dyDescent="0.35">
      <c r="A40">
        <v>77</v>
      </c>
      <c r="B40" t="s">
        <v>149</v>
      </c>
      <c r="C40">
        <v>780.489990234375</v>
      </c>
      <c r="D40">
        <v>0.17860000000000001</v>
      </c>
      <c r="E40">
        <v>1093.3800048828125</v>
      </c>
      <c r="F40">
        <v>0.16120000000000001</v>
      </c>
      <c r="G40">
        <v>-312.89</v>
      </c>
      <c r="H40">
        <v>945.65997314453125</v>
      </c>
      <c r="I40">
        <v>0.216</v>
      </c>
      <c r="J40">
        <v>1279.6300048828125</v>
      </c>
      <c r="K40">
        <v>0.1774</v>
      </c>
      <c r="L40">
        <v>-333.97</v>
      </c>
      <c r="M40">
        <v>1268.6800537109375</v>
      </c>
      <c r="N40">
        <v>0.28739999999999999</v>
      </c>
      <c r="O40">
        <v>1171.06005859375</v>
      </c>
      <c r="P40">
        <v>0.151</v>
      </c>
      <c r="Q40">
        <v>97.62</v>
      </c>
      <c r="R40">
        <v>2994.83</v>
      </c>
      <c r="S40">
        <v>3544.07</v>
      </c>
      <c r="T40">
        <v>-549.24</v>
      </c>
      <c r="U40">
        <v>27.66</v>
      </c>
      <c r="V40">
        <v>4.2699999999999996</v>
      </c>
      <c r="W40">
        <v>21.16</v>
      </c>
      <c r="X40">
        <v>34.159999999999997</v>
      </c>
      <c r="Y40">
        <v>17.03</v>
      </c>
      <c r="Z40">
        <v>-8.48</v>
      </c>
    </row>
    <row r="41" spans="1:26" x14ac:dyDescent="0.35">
      <c r="A41">
        <v>1</v>
      </c>
      <c r="B41" t="s">
        <v>73</v>
      </c>
      <c r="C41">
        <v>12.369999885559082</v>
      </c>
      <c r="D41">
        <v>2.8E-3</v>
      </c>
      <c r="E41">
        <v>19.110000610351563</v>
      </c>
      <c r="F41">
        <v>2.8E-3</v>
      </c>
      <c r="G41">
        <v>-6.74</v>
      </c>
      <c r="H41">
        <v>19.700000762939453</v>
      </c>
      <c r="I41">
        <v>4.4999999999999997E-3</v>
      </c>
      <c r="J41">
        <v>26.239999771118164</v>
      </c>
      <c r="K41">
        <v>3.5999999999999999E-3</v>
      </c>
      <c r="L41">
        <v>-6.54</v>
      </c>
      <c r="M41">
        <v>25.370000839233398</v>
      </c>
      <c r="N41">
        <v>5.7000000000000002E-3</v>
      </c>
      <c r="O41">
        <v>24.520000457763672</v>
      </c>
      <c r="P41">
        <v>3.2000000000000002E-3</v>
      </c>
      <c r="Q41">
        <v>0.85</v>
      </c>
      <c r="R41">
        <v>57.44</v>
      </c>
      <c r="S41">
        <v>69.87</v>
      </c>
      <c r="T41">
        <v>-12.43</v>
      </c>
      <c r="U41">
        <v>44.02</v>
      </c>
      <c r="V41">
        <v>15.38</v>
      </c>
      <c r="W41">
        <v>59.26</v>
      </c>
      <c r="X41">
        <v>28.78</v>
      </c>
      <c r="Y41">
        <v>37.31</v>
      </c>
      <c r="Z41">
        <v>-6.55</v>
      </c>
    </row>
    <row r="42" spans="1:26" x14ac:dyDescent="0.35">
      <c r="A42">
        <v>6</v>
      </c>
      <c r="B42" t="s">
        <v>78</v>
      </c>
      <c r="C42">
        <v>86.699996948242188</v>
      </c>
      <c r="D42">
        <v>1.9800000000000002E-2</v>
      </c>
      <c r="E42">
        <v>34.950000762939453</v>
      </c>
      <c r="F42">
        <v>5.1999999999999998E-3</v>
      </c>
      <c r="G42">
        <v>51.75</v>
      </c>
      <c r="H42">
        <v>88.580001831054688</v>
      </c>
      <c r="I42">
        <v>2.0199999999999999E-2</v>
      </c>
      <c r="J42">
        <v>66.489997863769531</v>
      </c>
      <c r="K42">
        <v>9.1999999999999998E-3</v>
      </c>
      <c r="L42">
        <v>22.09</v>
      </c>
      <c r="M42">
        <v>92.550003051757813</v>
      </c>
      <c r="N42">
        <v>2.1000000000000001E-2</v>
      </c>
      <c r="O42">
        <v>76.449996948242188</v>
      </c>
      <c r="P42">
        <v>9.9000000000000008E-3</v>
      </c>
      <c r="Q42">
        <v>16.100000000000001</v>
      </c>
      <c r="R42">
        <v>267.83</v>
      </c>
      <c r="S42">
        <v>177.89</v>
      </c>
      <c r="T42">
        <v>89.94</v>
      </c>
      <c r="U42">
        <v>3.33</v>
      </c>
      <c r="V42">
        <v>52.61</v>
      </c>
      <c r="W42">
        <v>2.17</v>
      </c>
      <c r="X42">
        <v>4.4800000000000004</v>
      </c>
      <c r="Y42">
        <v>90.24</v>
      </c>
      <c r="Z42">
        <v>14.98</v>
      </c>
    </row>
    <row r="43" spans="1:26" x14ac:dyDescent="0.35">
      <c r="A43">
        <v>54</v>
      </c>
      <c r="B43" t="s">
        <v>126</v>
      </c>
      <c r="C43">
        <v>1760.989990234375</v>
      </c>
      <c r="D43">
        <v>0.40289999999999998</v>
      </c>
      <c r="E43">
        <v>1656.199951171875</v>
      </c>
      <c r="F43">
        <v>0.2442</v>
      </c>
      <c r="G43">
        <v>104.79</v>
      </c>
      <c r="H43">
        <v>1769.75</v>
      </c>
      <c r="I43">
        <v>0.40429999999999999</v>
      </c>
      <c r="J43">
        <v>1514.4599609375</v>
      </c>
      <c r="K43">
        <v>0.21</v>
      </c>
      <c r="L43">
        <v>255.29</v>
      </c>
      <c r="M43">
        <v>1620.77001953125</v>
      </c>
      <c r="N43">
        <v>0.36709999999999998</v>
      </c>
      <c r="O43">
        <v>1958.199951171875</v>
      </c>
      <c r="P43">
        <v>0.25240000000000001</v>
      </c>
      <c r="Q43">
        <v>-337.43</v>
      </c>
      <c r="R43">
        <v>5151.51</v>
      </c>
      <c r="S43">
        <v>5128.8599999999997</v>
      </c>
      <c r="T43">
        <v>22.65</v>
      </c>
      <c r="U43">
        <v>-3.96</v>
      </c>
      <c r="V43">
        <v>10.37</v>
      </c>
      <c r="W43">
        <v>0.5</v>
      </c>
      <c r="X43">
        <v>-8.42</v>
      </c>
      <c r="Y43">
        <v>-8.56</v>
      </c>
      <c r="Z43">
        <v>29.3</v>
      </c>
    </row>
    <row r="44" spans="1:26" x14ac:dyDescent="0.35">
      <c r="A44">
        <v>55</v>
      </c>
      <c r="B44" t="s">
        <v>127</v>
      </c>
      <c r="C44">
        <v>1639.25</v>
      </c>
      <c r="D44">
        <v>0.37509999999999999</v>
      </c>
      <c r="E44">
        <v>900.96002197265625</v>
      </c>
      <c r="F44">
        <v>0.1328</v>
      </c>
      <c r="G44">
        <v>738.29</v>
      </c>
      <c r="H44">
        <v>1613.3199462890625</v>
      </c>
      <c r="I44">
        <v>0.36859999999999998</v>
      </c>
      <c r="J44">
        <v>840.1400146484375</v>
      </c>
      <c r="K44">
        <v>0.11650000000000001</v>
      </c>
      <c r="L44">
        <v>773.18</v>
      </c>
      <c r="M44">
        <v>1575.3199462890625</v>
      </c>
      <c r="N44">
        <v>0.35680000000000001</v>
      </c>
      <c r="O44">
        <v>1071.8199462890625</v>
      </c>
      <c r="P44">
        <v>0.13819999999999999</v>
      </c>
      <c r="Q44">
        <v>503.5</v>
      </c>
      <c r="R44">
        <v>4827.8900000000003</v>
      </c>
      <c r="S44">
        <v>2812.92</v>
      </c>
      <c r="T44">
        <v>2014.97</v>
      </c>
      <c r="U44">
        <v>-1.97</v>
      </c>
      <c r="V44">
        <v>10.41</v>
      </c>
      <c r="W44">
        <v>-1.58</v>
      </c>
      <c r="X44">
        <v>-2.36</v>
      </c>
      <c r="Y44">
        <v>-6.75</v>
      </c>
      <c r="Z44">
        <v>27.58</v>
      </c>
    </row>
    <row r="45" spans="1:26" x14ac:dyDescent="0.35">
      <c r="A45">
        <v>46</v>
      </c>
      <c r="B45" t="s">
        <v>118</v>
      </c>
      <c r="C45">
        <v>68.730003356933594</v>
      </c>
      <c r="D45">
        <v>1.5699999999999999E-2</v>
      </c>
      <c r="E45">
        <v>8.9099998474121094</v>
      </c>
      <c r="F45">
        <v>1.2999999999999999E-3</v>
      </c>
      <c r="G45">
        <v>59.82</v>
      </c>
      <c r="H45">
        <v>71.30999755859375</v>
      </c>
      <c r="I45">
        <v>1.6299999999999999E-2</v>
      </c>
      <c r="J45">
        <v>9.4799995422363281</v>
      </c>
      <c r="K45">
        <v>1.2999999999999999E-3</v>
      </c>
      <c r="L45">
        <v>61.83</v>
      </c>
      <c r="M45">
        <v>64.300003051757813</v>
      </c>
      <c r="N45">
        <v>1.46E-2</v>
      </c>
      <c r="O45">
        <v>9.4399995803833008</v>
      </c>
      <c r="P45">
        <v>1.1999999999999999E-3</v>
      </c>
      <c r="Q45">
        <v>54.86</v>
      </c>
      <c r="R45">
        <v>204.34</v>
      </c>
      <c r="S45">
        <v>27.83</v>
      </c>
      <c r="T45">
        <v>176.51</v>
      </c>
      <c r="U45">
        <v>-3.04</v>
      </c>
      <c r="V45">
        <v>2.99</v>
      </c>
      <c r="W45">
        <v>3.75</v>
      </c>
      <c r="X45">
        <v>-9.83</v>
      </c>
      <c r="Y45">
        <v>6.4</v>
      </c>
      <c r="Z45">
        <v>-0.42</v>
      </c>
    </row>
    <row r="46" spans="1:26" x14ac:dyDescent="0.35">
      <c r="A46">
        <v>2</v>
      </c>
      <c r="B46" t="s">
        <v>74</v>
      </c>
      <c r="C46">
        <v>3832.60009765625</v>
      </c>
      <c r="D46">
        <v>0.87690000000000001</v>
      </c>
      <c r="E46">
        <v>6.630000114440918</v>
      </c>
      <c r="F46">
        <v>1E-3</v>
      </c>
      <c r="G46">
        <v>3825.97</v>
      </c>
      <c r="H46">
        <v>4159</v>
      </c>
      <c r="I46">
        <v>0.95020000000000004</v>
      </c>
      <c r="J46">
        <v>7.6399998664855957</v>
      </c>
      <c r="K46">
        <v>1.1000000000000001E-3</v>
      </c>
      <c r="L46">
        <v>4151.3599999999997</v>
      </c>
      <c r="M46">
        <v>5215.41015625</v>
      </c>
      <c r="N46">
        <v>1.1814</v>
      </c>
      <c r="O46">
        <v>13.529999732971191</v>
      </c>
      <c r="P46">
        <v>1.6999999999999999E-3</v>
      </c>
      <c r="Q46">
        <v>5201.88</v>
      </c>
      <c r="R46">
        <v>13207.01</v>
      </c>
      <c r="S46">
        <v>27.8</v>
      </c>
      <c r="T46">
        <v>13179.21</v>
      </c>
      <c r="U46">
        <v>16.96</v>
      </c>
      <c r="V46">
        <v>46.16</v>
      </c>
      <c r="W46">
        <v>8.52</v>
      </c>
      <c r="X46">
        <v>25.4</v>
      </c>
      <c r="Y46">
        <v>15.23</v>
      </c>
      <c r="Z46">
        <v>77.09</v>
      </c>
    </row>
    <row r="47" spans="1:26" x14ac:dyDescent="0.35">
      <c r="A47">
        <v>27</v>
      </c>
      <c r="B47" t="s">
        <v>99</v>
      </c>
      <c r="C47">
        <v>87602.3828125</v>
      </c>
      <c r="D47">
        <v>20.042999999999999</v>
      </c>
      <c r="E47">
        <v>219053.65625</v>
      </c>
      <c r="F47">
        <v>32.2986</v>
      </c>
      <c r="G47">
        <v>-131451.26999999999</v>
      </c>
      <c r="H47">
        <v>67045.9765625</v>
      </c>
      <c r="I47">
        <v>15.317600000000001</v>
      </c>
      <c r="J47">
        <v>218456.015625</v>
      </c>
      <c r="K47">
        <v>30.290600000000001</v>
      </c>
      <c r="L47">
        <v>-151410.04</v>
      </c>
      <c r="M47">
        <v>55871.33984375</v>
      </c>
      <c r="N47">
        <v>12.6563</v>
      </c>
      <c r="O47">
        <v>203415.625</v>
      </c>
      <c r="P47">
        <v>26.222999999999999</v>
      </c>
      <c r="Q47">
        <v>-147544.29</v>
      </c>
      <c r="R47">
        <v>210519.7</v>
      </c>
      <c r="S47">
        <v>640925.30000000005</v>
      </c>
      <c r="T47">
        <v>-430405.6</v>
      </c>
      <c r="U47">
        <v>-20.07</v>
      </c>
      <c r="V47">
        <v>-3.58</v>
      </c>
      <c r="W47">
        <v>-23.47</v>
      </c>
      <c r="X47">
        <v>-16.670000000000002</v>
      </c>
      <c r="Y47">
        <v>-0.27</v>
      </c>
      <c r="Z47">
        <v>-6.88</v>
      </c>
    </row>
    <row r="48" spans="1:26" x14ac:dyDescent="0.35">
      <c r="A48">
        <v>82</v>
      </c>
      <c r="B48" t="s">
        <v>154</v>
      </c>
      <c r="C48">
        <v>881.8800048828125</v>
      </c>
      <c r="D48">
        <v>0.20180000000000001</v>
      </c>
      <c r="E48">
        <v>1206.0699462890625</v>
      </c>
      <c r="F48">
        <v>0.17780000000000001</v>
      </c>
      <c r="G48">
        <v>-324.19</v>
      </c>
      <c r="H48">
        <v>971.70001220703125</v>
      </c>
      <c r="I48">
        <v>0.222</v>
      </c>
      <c r="J48">
        <v>1258.6400146484375</v>
      </c>
      <c r="K48">
        <v>0.17449999999999999</v>
      </c>
      <c r="L48">
        <v>-286.94</v>
      </c>
      <c r="M48">
        <v>1026.2099609375</v>
      </c>
      <c r="N48">
        <v>0.23250000000000001</v>
      </c>
      <c r="O48">
        <v>1292.0400390625</v>
      </c>
      <c r="P48">
        <v>0.1666</v>
      </c>
      <c r="Q48">
        <v>-265.83</v>
      </c>
      <c r="R48">
        <v>2879.79</v>
      </c>
      <c r="S48">
        <v>3756.75</v>
      </c>
      <c r="T48">
        <v>-876.96</v>
      </c>
      <c r="U48">
        <v>7.9</v>
      </c>
      <c r="V48">
        <v>3.51</v>
      </c>
      <c r="W48">
        <v>10.19</v>
      </c>
      <c r="X48">
        <v>5.61</v>
      </c>
      <c r="Y48">
        <v>4.3600000000000003</v>
      </c>
      <c r="Z48">
        <v>2.65</v>
      </c>
    </row>
    <row r="49" spans="1:26" x14ac:dyDescent="0.35">
      <c r="A49">
        <v>38</v>
      </c>
      <c r="B49" t="s">
        <v>110</v>
      </c>
      <c r="C49">
        <v>6577.080078125</v>
      </c>
      <c r="D49">
        <v>1.5047999999999999</v>
      </c>
      <c r="E49">
        <v>7429.97021484375</v>
      </c>
      <c r="F49">
        <v>1.0954999999999999</v>
      </c>
      <c r="G49">
        <v>-852.89</v>
      </c>
      <c r="H49">
        <v>6972.75</v>
      </c>
      <c r="I49">
        <v>1.593</v>
      </c>
      <c r="J49">
        <v>8013.56005859375</v>
      </c>
      <c r="K49">
        <v>1.1111</v>
      </c>
      <c r="L49">
        <v>-1040.81</v>
      </c>
      <c r="M49">
        <v>7113.3798828125</v>
      </c>
      <c r="N49">
        <v>1.6113999999999999</v>
      </c>
      <c r="O49">
        <v>8857.0302734375</v>
      </c>
      <c r="P49">
        <v>1.1417999999999999</v>
      </c>
      <c r="Q49">
        <v>-1743.65</v>
      </c>
      <c r="R49">
        <v>20663.21</v>
      </c>
      <c r="S49">
        <v>24300.560000000001</v>
      </c>
      <c r="T49">
        <v>-3637.35</v>
      </c>
      <c r="U49">
        <v>4.0199999999999996</v>
      </c>
      <c r="V49">
        <v>9.19</v>
      </c>
      <c r="W49">
        <v>6.02</v>
      </c>
      <c r="X49">
        <v>2.02</v>
      </c>
      <c r="Y49">
        <v>7.85</v>
      </c>
      <c r="Z49">
        <v>10.53</v>
      </c>
    </row>
    <row r="50" spans="1:26" x14ac:dyDescent="0.35">
      <c r="A50">
        <v>21</v>
      </c>
      <c r="B50" t="s">
        <v>93</v>
      </c>
      <c r="C50">
        <v>1469.4200439453125</v>
      </c>
      <c r="D50">
        <v>0.3362</v>
      </c>
      <c r="E50">
        <v>187.8699951171875</v>
      </c>
      <c r="F50">
        <v>2.7699999999999999E-2</v>
      </c>
      <c r="G50">
        <v>1281.55</v>
      </c>
      <c r="H50">
        <v>1713.9300537109375</v>
      </c>
      <c r="I50">
        <v>0.3916</v>
      </c>
      <c r="J50">
        <v>233.28999328613281</v>
      </c>
      <c r="K50">
        <v>3.2300000000000002E-2</v>
      </c>
      <c r="L50">
        <v>1480.64</v>
      </c>
      <c r="M50">
        <v>1960.52001953125</v>
      </c>
      <c r="N50">
        <v>0.44409999999999999</v>
      </c>
      <c r="O50">
        <v>262.6400146484375</v>
      </c>
      <c r="P50">
        <v>3.39E-2</v>
      </c>
      <c r="Q50">
        <v>1697.88</v>
      </c>
      <c r="R50">
        <v>5143.87</v>
      </c>
      <c r="S50">
        <v>683.8</v>
      </c>
      <c r="T50">
        <v>4460.07</v>
      </c>
      <c r="U50">
        <v>15.51</v>
      </c>
      <c r="V50">
        <v>18.38</v>
      </c>
      <c r="W50">
        <v>16.64</v>
      </c>
      <c r="X50">
        <v>14.39</v>
      </c>
      <c r="Y50">
        <v>24.18</v>
      </c>
      <c r="Z50">
        <v>12.58</v>
      </c>
    </row>
    <row r="51" spans="1:26" x14ac:dyDescent="0.35">
      <c r="A51">
        <v>98</v>
      </c>
      <c r="B51" t="s">
        <v>170</v>
      </c>
      <c r="C51">
        <v>93.919998168945313</v>
      </c>
      <c r="D51">
        <v>2.1499999999999998E-2</v>
      </c>
      <c r="E51">
        <v>10.229999542236328</v>
      </c>
      <c r="F51">
        <v>1.5E-3</v>
      </c>
      <c r="G51">
        <v>83.69</v>
      </c>
      <c r="H51">
        <v>0.31000000238418579</v>
      </c>
      <c r="I51">
        <v>1E-4</v>
      </c>
      <c r="J51">
        <v>6.5100002288818359</v>
      </c>
      <c r="K51">
        <v>8.9999999999999998E-4</v>
      </c>
      <c r="L51">
        <v>-6.2</v>
      </c>
      <c r="M51">
        <v>0.2800000011920929</v>
      </c>
      <c r="N51">
        <v>1E-4</v>
      </c>
      <c r="O51">
        <v>6.6100001335144043</v>
      </c>
      <c r="P51">
        <v>8.9999999999999998E-4</v>
      </c>
      <c r="Q51">
        <v>-6.33</v>
      </c>
      <c r="R51">
        <v>94.51</v>
      </c>
      <c r="S51">
        <v>23.35</v>
      </c>
      <c r="T51">
        <v>71.16</v>
      </c>
      <c r="U51">
        <v>-54.67</v>
      </c>
      <c r="V51">
        <v>-17.41</v>
      </c>
      <c r="W51">
        <v>-99.67</v>
      </c>
      <c r="X51">
        <v>-9.68</v>
      </c>
      <c r="Y51">
        <v>-36.36</v>
      </c>
      <c r="Z51">
        <v>1.54</v>
      </c>
    </row>
    <row r="52" spans="1:26" x14ac:dyDescent="0.35">
      <c r="A52">
        <v>95</v>
      </c>
      <c r="B52" t="s">
        <v>167</v>
      </c>
      <c r="C52">
        <v>723.41998291015625</v>
      </c>
      <c r="D52">
        <v>0.16550000000000001</v>
      </c>
      <c r="E52">
        <v>739.95001220703125</v>
      </c>
      <c r="F52">
        <v>0.1091</v>
      </c>
      <c r="G52">
        <v>-16.53</v>
      </c>
      <c r="H52">
        <v>733.1099853515625</v>
      </c>
      <c r="I52">
        <v>0.16750000000000001</v>
      </c>
      <c r="J52">
        <v>671.65997314453125</v>
      </c>
      <c r="K52">
        <v>9.3100000000000002E-2</v>
      </c>
      <c r="L52">
        <v>61.45</v>
      </c>
      <c r="M52">
        <v>705.3499755859375</v>
      </c>
      <c r="N52">
        <v>0.1598</v>
      </c>
      <c r="O52">
        <v>646.1099853515625</v>
      </c>
      <c r="P52">
        <v>8.3299999999999999E-2</v>
      </c>
      <c r="Q52">
        <v>59.24</v>
      </c>
      <c r="R52">
        <v>2161.88</v>
      </c>
      <c r="S52">
        <v>2057.7199999999998</v>
      </c>
      <c r="T52">
        <v>104.16</v>
      </c>
      <c r="U52">
        <v>-1.22</v>
      </c>
      <c r="V52">
        <v>-6.52</v>
      </c>
      <c r="W52">
        <v>1.34</v>
      </c>
      <c r="X52">
        <v>-3.79</v>
      </c>
      <c r="Y52">
        <v>-9.23</v>
      </c>
      <c r="Z52">
        <v>-3.8</v>
      </c>
    </row>
    <row r="53" spans="1:26" x14ac:dyDescent="0.35">
      <c r="A53">
        <v>91</v>
      </c>
      <c r="B53" t="s">
        <v>163</v>
      </c>
      <c r="C53">
        <v>45.349998474121094</v>
      </c>
      <c r="D53">
        <v>1.04E-2</v>
      </c>
      <c r="E53">
        <v>67.94000244140625</v>
      </c>
      <c r="F53">
        <v>0.01</v>
      </c>
      <c r="G53">
        <v>-22.59</v>
      </c>
      <c r="H53">
        <v>46.240001678466797</v>
      </c>
      <c r="I53">
        <v>1.06E-2</v>
      </c>
      <c r="J53">
        <v>76.019996643066406</v>
      </c>
      <c r="K53">
        <v>1.0500000000000001E-2</v>
      </c>
      <c r="L53">
        <v>-29.78</v>
      </c>
      <c r="M53">
        <v>53.409999847412109</v>
      </c>
      <c r="N53">
        <v>1.21E-2</v>
      </c>
      <c r="O53">
        <v>85.300003051757813</v>
      </c>
      <c r="P53">
        <v>1.0999999999999999E-2</v>
      </c>
      <c r="Q53">
        <v>-31.89</v>
      </c>
      <c r="R53">
        <v>145</v>
      </c>
      <c r="S53">
        <v>229.26</v>
      </c>
      <c r="T53">
        <v>-84.26</v>
      </c>
      <c r="U53">
        <v>8.73</v>
      </c>
      <c r="V53">
        <v>12.05</v>
      </c>
      <c r="W53">
        <v>1.96</v>
      </c>
      <c r="X53">
        <v>15.51</v>
      </c>
      <c r="Y53">
        <v>11.89</v>
      </c>
      <c r="Z53">
        <v>12.21</v>
      </c>
    </row>
    <row r="54" spans="1:26" x14ac:dyDescent="0.35">
      <c r="A54">
        <v>71</v>
      </c>
      <c r="B54" t="s">
        <v>143</v>
      </c>
      <c r="C54">
        <v>32853.1015625</v>
      </c>
      <c r="D54">
        <v>7.5166000000000004</v>
      </c>
      <c r="E54">
        <v>78473.546875</v>
      </c>
      <c r="F54">
        <v>11.570600000000001</v>
      </c>
      <c r="G54">
        <v>-45620.45</v>
      </c>
      <c r="H54">
        <v>29958.41015625</v>
      </c>
      <c r="I54">
        <v>6.8444000000000003</v>
      </c>
      <c r="J54">
        <v>88975.65625</v>
      </c>
      <c r="K54">
        <v>12.337199999999999</v>
      </c>
      <c r="L54">
        <v>-59017.25</v>
      </c>
      <c r="M54">
        <v>28343.83984375</v>
      </c>
      <c r="N54">
        <v>6.4206000000000003</v>
      </c>
      <c r="O54">
        <v>109429.21875</v>
      </c>
      <c r="P54">
        <v>14.1069</v>
      </c>
      <c r="Q54">
        <v>-81085.38</v>
      </c>
      <c r="R54">
        <v>91155.35</v>
      </c>
      <c r="S54">
        <v>276878.42</v>
      </c>
      <c r="T54">
        <v>-185723.07</v>
      </c>
      <c r="U54">
        <v>-7.1</v>
      </c>
      <c r="V54">
        <v>18.190000000000001</v>
      </c>
      <c r="W54">
        <v>-8.81</v>
      </c>
      <c r="X54">
        <v>-5.39</v>
      </c>
      <c r="Y54">
        <v>13.38</v>
      </c>
      <c r="Z54">
        <v>22.99</v>
      </c>
    </row>
    <row r="55" spans="1:26" x14ac:dyDescent="0.35">
      <c r="A55">
        <v>75</v>
      </c>
      <c r="B55" t="s">
        <v>147</v>
      </c>
      <c r="C55">
        <v>165.1300048828125</v>
      </c>
      <c r="D55">
        <v>3.78E-2</v>
      </c>
      <c r="E55">
        <v>1341.31005859375</v>
      </c>
      <c r="F55">
        <v>0.1978</v>
      </c>
      <c r="G55">
        <v>-1176.18</v>
      </c>
      <c r="H55">
        <v>188.6300048828125</v>
      </c>
      <c r="I55">
        <v>4.3099999999999999E-2</v>
      </c>
      <c r="J55">
        <v>1236.530029296875</v>
      </c>
      <c r="K55">
        <v>0.17150000000000001</v>
      </c>
      <c r="L55">
        <v>-1047.9000000000001</v>
      </c>
      <c r="M55">
        <v>184.99000549316406</v>
      </c>
      <c r="N55">
        <v>4.19E-2</v>
      </c>
      <c r="O55">
        <v>1187.6800537109375</v>
      </c>
      <c r="P55">
        <v>0.15310000000000001</v>
      </c>
      <c r="Q55">
        <v>-1002.69</v>
      </c>
      <c r="R55">
        <v>538.75</v>
      </c>
      <c r="S55">
        <v>3765.52</v>
      </c>
      <c r="T55">
        <v>-3226.77</v>
      </c>
      <c r="U55">
        <v>6.15</v>
      </c>
      <c r="V55">
        <v>-5.88</v>
      </c>
      <c r="W55">
        <v>14.23</v>
      </c>
      <c r="X55">
        <v>-1.93</v>
      </c>
      <c r="Y55">
        <v>-7.81</v>
      </c>
      <c r="Z55">
        <v>-3.95</v>
      </c>
    </row>
    <row r="56" spans="1:26" x14ac:dyDescent="0.35">
      <c r="A56">
        <v>83</v>
      </c>
      <c r="B56" t="s">
        <v>155</v>
      </c>
      <c r="C56">
        <v>30057.0703125</v>
      </c>
      <c r="D56">
        <v>6.8769</v>
      </c>
      <c r="E56">
        <v>57408.94140625</v>
      </c>
      <c r="F56">
        <v>8.4647000000000006</v>
      </c>
      <c r="G56">
        <v>-27351.87</v>
      </c>
      <c r="H56">
        <v>33475.25</v>
      </c>
      <c r="I56">
        <v>7.6478999999999999</v>
      </c>
      <c r="J56">
        <v>64302.12109375</v>
      </c>
      <c r="K56">
        <v>8.9160000000000004</v>
      </c>
      <c r="L56">
        <v>-30826.87</v>
      </c>
      <c r="M56">
        <v>36629.609375</v>
      </c>
      <c r="N56">
        <v>8.2974999999999994</v>
      </c>
      <c r="O56">
        <v>74002.15625</v>
      </c>
      <c r="P56">
        <v>9.5398999999999994</v>
      </c>
      <c r="Q56">
        <v>-37372.550000000003</v>
      </c>
      <c r="R56">
        <v>100161.93</v>
      </c>
      <c r="S56">
        <v>195713.22</v>
      </c>
      <c r="T56">
        <v>-95551.29</v>
      </c>
      <c r="U56">
        <v>10.4</v>
      </c>
      <c r="V56">
        <v>13.55</v>
      </c>
      <c r="W56">
        <v>11.37</v>
      </c>
      <c r="X56">
        <v>9.42</v>
      </c>
      <c r="Y56">
        <v>12.01</v>
      </c>
      <c r="Z56">
        <v>15.09</v>
      </c>
    </row>
    <row r="57" spans="1:26" x14ac:dyDescent="0.35">
      <c r="A57">
        <v>12</v>
      </c>
      <c r="B57" t="s">
        <v>84</v>
      </c>
      <c r="C57">
        <v>2143.780029296875</v>
      </c>
      <c r="D57">
        <v>0.49049999999999999</v>
      </c>
      <c r="E57">
        <v>1259.8299560546875</v>
      </c>
      <c r="F57">
        <v>0.18579999999999999</v>
      </c>
      <c r="G57">
        <v>883.95</v>
      </c>
      <c r="H57">
        <v>2127.85009765625</v>
      </c>
      <c r="I57">
        <v>0.48609999999999998</v>
      </c>
      <c r="J57">
        <v>911.09002685546875</v>
      </c>
      <c r="K57">
        <v>0.1263</v>
      </c>
      <c r="L57">
        <v>1216.76</v>
      </c>
      <c r="M57">
        <v>1956.5</v>
      </c>
      <c r="N57">
        <v>0.44319999999999998</v>
      </c>
      <c r="O57">
        <v>866.45001220703125</v>
      </c>
      <c r="P57">
        <v>0.11169999999999999</v>
      </c>
      <c r="Q57">
        <v>1090.05</v>
      </c>
      <c r="R57">
        <v>6228.13</v>
      </c>
      <c r="S57">
        <v>3037.37</v>
      </c>
      <c r="T57">
        <v>3190.76</v>
      </c>
      <c r="U57">
        <v>-4.4000000000000004</v>
      </c>
      <c r="V57">
        <v>-16.29</v>
      </c>
      <c r="W57">
        <v>-0.74</v>
      </c>
      <c r="X57">
        <v>-8.0500000000000007</v>
      </c>
      <c r="Y57">
        <v>-27.68</v>
      </c>
      <c r="Z57">
        <v>-4.9000000000000004</v>
      </c>
    </row>
    <row r="58" spans="1:26" x14ac:dyDescent="0.35">
      <c r="A58">
        <v>89</v>
      </c>
      <c r="B58" t="s">
        <v>161</v>
      </c>
      <c r="C58">
        <v>4990.43017578125</v>
      </c>
      <c r="D58">
        <v>1.1417999999999999</v>
      </c>
      <c r="E58">
        <v>12922.25</v>
      </c>
      <c r="F58">
        <v>1.9053</v>
      </c>
      <c r="G58">
        <v>-7931.82</v>
      </c>
      <c r="H58">
        <v>5285.240234375</v>
      </c>
      <c r="I58">
        <v>1.2075</v>
      </c>
      <c r="J58">
        <v>13842.1396484375</v>
      </c>
      <c r="K58">
        <v>1.9193</v>
      </c>
      <c r="L58">
        <v>-8556.9</v>
      </c>
      <c r="M58">
        <v>5679.830078125</v>
      </c>
      <c r="N58">
        <v>1.2866</v>
      </c>
      <c r="O58">
        <v>15352.8701171875</v>
      </c>
      <c r="P58">
        <v>1.9792000000000001</v>
      </c>
      <c r="Q58">
        <v>-9673.0400000000009</v>
      </c>
      <c r="R58">
        <v>15955.5</v>
      </c>
      <c r="S58">
        <v>42117.26</v>
      </c>
      <c r="T58">
        <v>-26161.759999999998</v>
      </c>
      <c r="U58">
        <v>6.69</v>
      </c>
      <c r="V58">
        <v>9.02</v>
      </c>
      <c r="W58">
        <v>5.91</v>
      </c>
      <c r="X58">
        <v>7.47</v>
      </c>
      <c r="Y58">
        <v>7.12</v>
      </c>
      <c r="Z58">
        <v>10.91</v>
      </c>
    </row>
    <row r="59" spans="1:26" x14ac:dyDescent="0.35">
      <c r="A59">
        <v>26</v>
      </c>
      <c r="B59" t="s">
        <v>98</v>
      </c>
      <c r="C59">
        <v>4267.06982421875</v>
      </c>
      <c r="D59">
        <v>0.97629999999999995</v>
      </c>
      <c r="E59">
        <v>5987.740234375</v>
      </c>
      <c r="F59">
        <v>0.88290000000000002</v>
      </c>
      <c r="G59">
        <v>-1720.67</v>
      </c>
      <c r="H59">
        <v>2350.830078125</v>
      </c>
      <c r="I59">
        <v>0.53710000000000002</v>
      </c>
      <c r="J59">
        <v>7232.22021484375</v>
      </c>
      <c r="K59">
        <v>1.0027999999999999</v>
      </c>
      <c r="L59">
        <v>-4881.3900000000003</v>
      </c>
      <c r="M59">
        <v>2139.22998046875</v>
      </c>
      <c r="N59">
        <v>0.48459999999999998</v>
      </c>
      <c r="O59">
        <v>10402.75</v>
      </c>
      <c r="P59">
        <v>1.3411</v>
      </c>
      <c r="Q59">
        <v>-8263.52</v>
      </c>
      <c r="R59">
        <v>8757.1299999999992</v>
      </c>
      <c r="S59">
        <v>23622.71</v>
      </c>
      <c r="T59">
        <v>-14865.58</v>
      </c>
      <c r="U59">
        <v>-26.95</v>
      </c>
      <c r="V59">
        <v>32.31</v>
      </c>
      <c r="W59">
        <v>-44.91</v>
      </c>
      <c r="X59">
        <v>-9</v>
      </c>
      <c r="Y59">
        <v>20.78</v>
      </c>
      <c r="Z59">
        <v>43.84</v>
      </c>
    </row>
    <row r="60" spans="1:26" x14ac:dyDescent="0.35">
      <c r="A60">
        <v>29</v>
      </c>
      <c r="B60" t="s">
        <v>101</v>
      </c>
      <c r="C60">
        <v>20311.5</v>
      </c>
      <c r="D60">
        <v>4.6471999999999998</v>
      </c>
      <c r="E60">
        <v>26745.08984375</v>
      </c>
      <c r="F60">
        <v>3.9434999999999998</v>
      </c>
      <c r="G60">
        <v>-6433.59</v>
      </c>
      <c r="H60">
        <v>20120.689453125</v>
      </c>
      <c r="I60">
        <v>4.5968999999999998</v>
      </c>
      <c r="J60">
        <v>26590.5390625</v>
      </c>
      <c r="K60">
        <v>3.6869999999999998</v>
      </c>
      <c r="L60">
        <v>-6469.85</v>
      </c>
      <c r="M60">
        <v>20408.75</v>
      </c>
      <c r="N60">
        <v>4.6231</v>
      </c>
      <c r="O60">
        <v>25410.73046875</v>
      </c>
      <c r="P60">
        <v>3.2757999999999998</v>
      </c>
      <c r="Q60">
        <v>-5001.9799999999996</v>
      </c>
      <c r="R60">
        <v>60840.94</v>
      </c>
      <c r="S60">
        <v>78746.36</v>
      </c>
      <c r="T60">
        <v>-17905.419999999998</v>
      </c>
      <c r="U60">
        <v>0.25</v>
      </c>
      <c r="V60">
        <v>-2.5099999999999998</v>
      </c>
      <c r="W60">
        <v>-0.94</v>
      </c>
      <c r="X60">
        <v>1.43</v>
      </c>
      <c r="Y60">
        <v>-0.57999999999999996</v>
      </c>
      <c r="Z60">
        <v>-4.4400000000000004</v>
      </c>
    </row>
    <row r="61" spans="1:26" x14ac:dyDescent="0.35">
      <c r="A61">
        <v>80</v>
      </c>
      <c r="B61" t="s">
        <v>152</v>
      </c>
      <c r="C61">
        <v>101.37999725341797</v>
      </c>
      <c r="D61">
        <v>2.3199999999999998E-2</v>
      </c>
      <c r="E61">
        <v>665.47998046875</v>
      </c>
      <c r="F61">
        <v>9.8100000000000007E-2</v>
      </c>
      <c r="G61">
        <v>-564.1</v>
      </c>
      <c r="H61">
        <v>152.58000183105469</v>
      </c>
      <c r="I61">
        <v>3.49E-2</v>
      </c>
      <c r="J61">
        <v>679.1099853515625</v>
      </c>
      <c r="K61">
        <v>9.4200000000000006E-2</v>
      </c>
      <c r="L61">
        <v>-526.53</v>
      </c>
      <c r="M61">
        <v>297.29998779296875</v>
      </c>
      <c r="N61">
        <v>6.7299999999999999E-2</v>
      </c>
      <c r="O61">
        <v>773.09002685546875</v>
      </c>
      <c r="P61">
        <v>9.9699999999999997E-2</v>
      </c>
      <c r="Q61">
        <v>-475.79</v>
      </c>
      <c r="R61">
        <v>551.26</v>
      </c>
      <c r="S61">
        <v>2117.6799999999998</v>
      </c>
      <c r="T61">
        <v>-1566.42</v>
      </c>
      <c r="U61">
        <v>72.680000000000007</v>
      </c>
      <c r="V61">
        <v>7.94</v>
      </c>
      <c r="W61">
        <v>50.5</v>
      </c>
      <c r="X61">
        <v>94.85</v>
      </c>
      <c r="Y61">
        <v>2.0499999999999998</v>
      </c>
      <c r="Z61">
        <v>13.84</v>
      </c>
    </row>
    <row r="62" spans="1:26" x14ac:dyDescent="0.35">
      <c r="A62">
        <v>63</v>
      </c>
      <c r="B62" t="s">
        <v>135</v>
      </c>
      <c r="C62">
        <v>5586.2001953125</v>
      </c>
      <c r="D62">
        <v>1.2781</v>
      </c>
      <c r="E62">
        <v>641.3800048828125</v>
      </c>
      <c r="F62">
        <v>9.4600000000000004E-2</v>
      </c>
      <c r="G62">
        <v>4944.82</v>
      </c>
      <c r="H62">
        <v>6103.14013671875</v>
      </c>
      <c r="I62">
        <v>1.3944000000000001</v>
      </c>
      <c r="J62">
        <v>635.55999755859375</v>
      </c>
      <c r="K62">
        <v>8.8099999999999998E-2</v>
      </c>
      <c r="L62">
        <v>5467.58</v>
      </c>
      <c r="M62">
        <v>5995.2998046875</v>
      </c>
      <c r="N62">
        <v>1.3581000000000001</v>
      </c>
      <c r="O62">
        <v>677.030029296875</v>
      </c>
      <c r="P62">
        <v>8.7300000000000003E-2</v>
      </c>
      <c r="Q62">
        <v>5318.27</v>
      </c>
      <c r="R62">
        <v>17684.64</v>
      </c>
      <c r="S62">
        <v>1953.97</v>
      </c>
      <c r="T62">
        <v>15730.67</v>
      </c>
      <c r="U62">
        <v>3.74</v>
      </c>
      <c r="V62">
        <v>2.81</v>
      </c>
      <c r="W62">
        <v>9.25</v>
      </c>
      <c r="X62">
        <v>-1.77</v>
      </c>
      <c r="Y62">
        <v>-0.91</v>
      </c>
      <c r="Z62">
        <v>6.52</v>
      </c>
    </row>
    <row r="63" spans="1:26" x14ac:dyDescent="0.35">
      <c r="A63">
        <v>53</v>
      </c>
      <c r="B63" t="s">
        <v>125</v>
      </c>
      <c r="C63">
        <v>473.20999145507813</v>
      </c>
      <c r="D63">
        <v>0.10829999999999999</v>
      </c>
      <c r="E63">
        <v>625.16998291015625</v>
      </c>
      <c r="F63">
        <v>9.2200000000000004E-2</v>
      </c>
      <c r="G63">
        <v>-151.96</v>
      </c>
      <c r="H63">
        <v>610.1199951171875</v>
      </c>
      <c r="I63">
        <v>0.1394</v>
      </c>
      <c r="J63">
        <v>672.72998046875</v>
      </c>
      <c r="K63">
        <v>9.3299999999999994E-2</v>
      </c>
      <c r="L63">
        <v>-62.61</v>
      </c>
      <c r="M63">
        <v>881.6099853515625</v>
      </c>
      <c r="N63">
        <v>0.19969999999999999</v>
      </c>
      <c r="O63">
        <v>540.59002685546875</v>
      </c>
      <c r="P63">
        <v>6.9699999999999998E-2</v>
      </c>
      <c r="Q63">
        <v>341.02</v>
      </c>
      <c r="R63">
        <v>1964.94</v>
      </c>
      <c r="S63">
        <v>1838.49</v>
      </c>
      <c r="T63">
        <v>126.45</v>
      </c>
      <c r="U63">
        <v>36.71</v>
      </c>
      <c r="V63">
        <v>-6.02</v>
      </c>
      <c r="W63">
        <v>28.93</v>
      </c>
      <c r="X63">
        <v>44.5</v>
      </c>
      <c r="Y63">
        <v>7.61</v>
      </c>
      <c r="Z63">
        <v>-19.64</v>
      </c>
    </row>
    <row r="64" spans="1:26" x14ac:dyDescent="0.35">
      <c r="A64">
        <v>48</v>
      </c>
      <c r="B64" t="s">
        <v>120</v>
      </c>
      <c r="C64">
        <v>2625.4599609375</v>
      </c>
      <c r="D64">
        <v>0.60070000000000001</v>
      </c>
      <c r="E64">
        <v>3018.22998046875</v>
      </c>
      <c r="F64">
        <v>0.44500000000000001</v>
      </c>
      <c r="G64">
        <v>-392.77</v>
      </c>
      <c r="H64">
        <v>2626.469970703125</v>
      </c>
      <c r="I64">
        <v>0.60009999999999997</v>
      </c>
      <c r="J64">
        <v>3271.469970703125</v>
      </c>
      <c r="K64">
        <v>0.4536</v>
      </c>
      <c r="L64">
        <v>-645</v>
      </c>
      <c r="M64">
        <v>2602.820068359375</v>
      </c>
      <c r="N64">
        <v>0.58960000000000001</v>
      </c>
      <c r="O64">
        <v>3039.989990234375</v>
      </c>
      <c r="P64">
        <v>0.39190000000000003</v>
      </c>
      <c r="Q64">
        <v>-437.17</v>
      </c>
      <c r="R64">
        <v>7854.75</v>
      </c>
      <c r="S64">
        <v>9329.69</v>
      </c>
      <c r="T64">
        <v>-1474.94</v>
      </c>
      <c r="U64">
        <v>-0.43</v>
      </c>
      <c r="V64">
        <v>0.66</v>
      </c>
      <c r="W64">
        <v>0.04</v>
      </c>
      <c r="X64">
        <v>-0.9</v>
      </c>
      <c r="Y64">
        <v>8.39</v>
      </c>
      <c r="Z64">
        <v>-7.08</v>
      </c>
    </row>
    <row r="65" spans="1:26" x14ac:dyDescent="0.35">
      <c r="A65">
        <v>30</v>
      </c>
      <c r="B65" t="s">
        <v>102</v>
      </c>
      <c r="C65">
        <v>22105.849609375</v>
      </c>
      <c r="D65">
        <v>5.0576999999999996</v>
      </c>
      <c r="E65">
        <v>2584.669921875</v>
      </c>
      <c r="F65">
        <v>0.38109999999999999</v>
      </c>
      <c r="G65">
        <v>19521.18</v>
      </c>
      <c r="H65">
        <v>24577.810546875</v>
      </c>
      <c r="I65">
        <v>5.6151999999999997</v>
      </c>
      <c r="J65">
        <v>2980.9599609375</v>
      </c>
      <c r="K65">
        <v>0.4133</v>
      </c>
      <c r="L65">
        <v>21596.85</v>
      </c>
      <c r="M65">
        <v>25073.390625</v>
      </c>
      <c r="N65">
        <v>5.6798000000000002</v>
      </c>
      <c r="O65">
        <v>3607.429931640625</v>
      </c>
      <c r="P65">
        <v>0.46500000000000002</v>
      </c>
      <c r="Q65">
        <v>21465.96</v>
      </c>
      <c r="R65">
        <v>71757.05</v>
      </c>
      <c r="S65">
        <v>9173.06</v>
      </c>
      <c r="T65">
        <v>62583.99</v>
      </c>
      <c r="U65">
        <v>6.6</v>
      </c>
      <c r="V65">
        <v>18.170000000000002</v>
      </c>
      <c r="W65">
        <v>11.18</v>
      </c>
      <c r="X65">
        <v>2.02</v>
      </c>
      <c r="Y65">
        <v>15.33</v>
      </c>
      <c r="Z65">
        <v>21.02</v>
      </c>
    </row>
    <row r="66" spans="1:26" x14ac:dyDescent="0.35">
      <c r="A66">
        <v>37</v>
      </c>
      <c r="B66" t="s">
        <v>109</v>
      </c>
      <c r="C66">
        <v>15.069999694824219</v>
      </c>
      <c r="D66">
        <v>3.3999999999999998E-3</v>
      </c>
      <c r="E66">
        <v>215.69000244140625</v>
      </c>
      <c r="F66">
        <v>3.1800000000000002E-2</v>
      </c>
      <c r="G66">
        <v>-200.62</v>
      </c>
      <c r="H66">
        <v>19.909999847412109</v>
      </c>
      <c r="I66">
        <v>4.4999999999999997E-3</v>
      </c>
      <c r="J66">
        <v>234.38999938964844</v>
      </c>
      <c r="K66">
        <v>3.2500000000000001E-2</v>
      </c>
      <c r="L66">
        <v>-214.48</v>
      </c>
      <c r="M66">
        <v>23.700000762939453</v>
      </c>
      <c r="N66">
        <v>5.4000000000000003E-3</v>
      </c>
      <c r="O66">
        <v>238.82000732421875</v>
      </c>
      <c r="P66">
        <v>3.0800000000000001E-2</v>
      </c>
      <c r="Q66">
        <v>-215.12</v>
      </c>
      <c r="R66">
        <v>58.68</v>
      </c>
      <c r="S66">
        <v>688.9</v>
      </c>
      <c r="T66">
        <v>-630.22</v>
      </c>
      <c r="U66">
        <v>25.58</v>
      </c>
      <c r="V66">
        <v>5.28</v>
      </c>
      <c r="W66">
        <v>32.119999999999997</v>
      </c>
      <c r="X66">
        <v>19.04</v>
      </c>
      <c r="Y66">
        <v>8.67</v>
      </c>
      <c r="Z66">
        <v>1.89</v>
      </c>
    </row>
    <row r="67" spans="1:26" x14ac:dyDescent="0.35">
      <c r="A67">
        <v>39</v>
      </c>
      <c r="B67" t="s">
        <v>111</v>
      </c>
      <c r="C67">
        <v>7381.2998046875</v>
      </c>
      <c r="D67">
        <v>1.6888000000000001</v>
      </c>
      <c r="E67">
        <v>21830.599609375</v>
      </c>
      <c r="F67">
        <v>3.2187999999999999</v>
      </c>
      <c r="G67">
        <v>-14449.3</v>
      </c>
      <c r="H67">
        <v>8158.2099609375</v>
      </c>
      <c r="I67">
        <v>1.8638999999999999</v>
      </c>
      <c r="J67">
        <v>22116.05078125</v>
      </c>
      <c r="K67">
        <v>3.0666000000000002</v>
      </c>
      <c r="L67">
        <v>-13957.84</v>
      </c>
      <c r="M67">
        <v>7597.39013671875</v>
      </c>
      <c r="N67">
        <v>1.7210000000000001</v>
      </c>
      <c r="O67">
        <v>22232.5</v>
      </c>
      <c r="P67">
        <v>2.8660999999999999</v>
      </c>
      <c r="Q67">
        <v>-14635.11</v>
      </c>
      <c r="R67">
        <v>23136.9</v>
      </c>
      <c r="S67">
        <v>66179.149999999994</v>
      </c>
      <c r="T67">
        <v>-43042.25</v>
      </c>
      <c r="U67">
        <v>1.83</v>
      </c>
      <c r="V67">
        <v>0.92</v>
      </c>
      <c r="W67">
        <v>10.53</v>
      </c>
      <c r="X67">
        <v>-6.87</v>
      </c>
      <c r="Y67">
        <v>1.31</v>
      </c>
      <c r="Z67">
        <v>0.53</v>
      </c>
    </row>
    <row r="68" spans="1:26" x14ac:dyDescent="0.35">
      <c r="A68">
        <v>19</v>
      </c>
      <c r="B68" t="s">
        <v>91</v>
      </c>
      <c r="C68">
        <v>821.030029296875</v>
      </c>
      <c r="D68">
        <v>0.18779999999999999</v>
      </c>
      <c r="E68">
        <v>156.58999633789063</v>
      </c>
      <c r="F68">
        <v>2.3099999999999999E-2</v>
      </c>
      <c r="G68">
        <v>664.44</v>
      </c>
      <c r="H68">
        <v>913.17999267578125</v>
      </c>
      <c r="I68">
        <v>0.20860000000000001</v>
      </c>
      <c r="J68">
        <v>180.42999267578125</v>
      </c>
      <c r="K68">
        <v>2.5000000000000001E-2</v>
      </c>
      <c r="L68">
        <v>732.75</v>
      </c>
      <c r="M68">
        <v>988.030029296875</v>
      </c>
      <c r="N68">
        <v>0.2238</v>
      </c>
      <c r="O68">
        <v>233.02000427246094</v>
      </c>
      <c r="P68">
        <v>0.03</v>
      </c>
      <c r="Q68">
        <v>755.01</v>
      </c>
      <c r="R68">
        <v>2722.24</v>
      </c>
      <c r="S68">
        <v>570.04</v>
      </c>
      <c r="T68">
        <v>2152.1999999999998</v>
      </c>
      <c r="U68">
        <v>9.7100000000000009</v>
      </c>
      <c r="V68">
        <v>22.19</v>
      </c>
      <c r="W68">
        <v>11.22</v>
      </c>
      <c r="X68">
        <v>8.1999999999999993</v>
      </c>
      <c r="Y68">
        <v>15.22</v>
      </c>
      <c r="Z68">
        <v>29.15</v>
      </c>
    </row>
    <row r="69" spans="1:26" x14ac:dyDescent="0.35">
      <c r="A69">
        <v>16</v>
      </c>
      <c r="B69" t="s">
        <v>88</v>
      </c>
      <c r="C69">
        <v>725.8599853515625</v>
      </c>
      <c r="D69">
        <v>0.1661</v>
      </c>
      <c r="E69">
        <v>9.3900003433227539</v>
      </c>
      <c r="F69">
        <v>1.4E-3</v>
      </c>
      <c r="G69">
        <v>716.47</v>
      </c>
      <c r="H69">
        <v>789.989990234375</v>
      </c>
      <c r="I69">
        <v>0.18049999999999999</v>
      </c>
      <c r="J69">
        <v>8.1599998474121094</v>
      </c>
      <c r="K69">
        <v>1.1000000000000001E-3</v>
      </c>
      <c r="L69">
        <v>781.83</v>
      </c>
      <c r="M69">
        <v>808.79998779296875</v>
      </c>
      <c r="N69">
        <v>0.1832</v>
      </c>
      <c r="O69">
        <v>8.2899999618530273</v>
      </c>
      <c r="P69">
        <v>1.1000000000000001E-3</v>
      </c>
      <c r="Q69">
        <v>800.51</v>
      </c>
      <c r="R69">
        <v>2324.65</v>
      </c>
      <c r="S69">
        <v>25.84</v>
      </c>
      <c r="T69">
        <v>2298.81</v>
      </c>
      <c r="U69">
        <v>5.61</v>
      </c>
      <c r="V69">
        <v>-5.75</v>
      </c>
      <c r="W69">
        <v>8.84</v>
      </c>
      <c r="X69">
        <v>2.38</v>
      </c>
      <c r="Y69">
        <v>-13.1</v>
      </c>
      <c r="Z69">
        <v>1.59</v>
      </c>
    </row>
    <row r="70" spans="1:26" x14ac:dyDescent="0.35">
      <c r="A70">
        <v>20</v>
      </c>
      <c r="B70" t="s">
        <v>92</v>
      </c>
      <c r="C70">
        <v>1155.6400146484375</v>
      </c>
      <c r="D70">
        <v>0.26440000000000002</v>
      </c>
      <c r="E70">
        <v>141.41000366210938</v>
      </c>
      <c r="F70">
        <v>2.0899999999999998E-2</v>
      </c>
      <c r="G70">
        <v>1014.23</v>
      </c>
      <c r="H70">
        <v>1223.1700439453125</v>
      </c>
      <c r="I70">
        <v>0.27950000000000003</v>
      </c>
      <c r="J70">
        <v>177.91000366210938</v>
      </c>
      <c r="K70">
        <v>2.47E-2</v>
      </c>
      <c r="L70">
        <v>1045.26</v>
      </c>
      <c r="M70">
        <v>1244.969970703125</v>
      </c>
      <c r="N70">
        <v>0.28199999999999997</v>
      </c>
      <c r="O70">
        <v>275.72000122070313</v>
      </c>
      <c r="P70">
        <v>3.5499999999999997E-2</v>
      </c>
      <c r="Q70">
        <v>969.25</v>
      </c>
      <c r="R70">
        <v>3623.78</v>
      </c>
      <c r="S70">
        <v>595.04</v>
      </c>
      <c r="T70">
        <v>3028.74</v>
      </c>
      <c r="U70">
        <v>3.81</v>
      </c>
      <c r="V70">
        <v>40.39</v>
      </c>
      <c r="W70">
        <v>5.84</v>
      </c>
      <c r="X70">
        <v>1.78</v>
      </c>
      <c r="Y70">
        <v>25.81</v>
      </c>
      <c r="Z70">
        <v>54.98</v>
      </c>
    </row>
    <row r="71" spans="1:26" x14ac:dyDescent="0.35">
      <c r="A71">
        <v>67</v>
      </c>
      <c r="B71" t="s">
        <v>139</v>
      </c>
      <c r="C71">
        <v>587.65997314453125</v>
      </c>
      <c r="D71">
        <v>0.13450000000000001</v>
      </c>
      <c r="E71">
        <v>45.959999084472656</v>
      </c>
      <c r="F71">
        <v>6.7999999999999996E-3</v>
      </c>
      <c r="G71">
        <v>541.70000000000005</v>
      </c>
      <c r="H71">
        <v>600.239990234375</v>
      </c>
      <c r="I71">
        <v>0.1371</v>
      </c>
      <c r="J71">
        <v>34.580001831054688</v>
      </c>
      <c r="K71">
        <v>4.7999999999999996E-3</v>
      </c>
      <c r="L71">
        <v>565.66</v>
      </c>
      <c r="M71">
        <v>665.53997802734375</v>
      </c>
      <c r="N71">
        <v>0.15079999999999999</v>
      </c>
      <c r="O71">
        <v>37.990001678466797</v>
      </c>
      <c r="P71">
        <v>4.8999999999999998E-3</v>
      </c>
      <c r="Q71">
        <v>627.54999999999995</v>
      </c>
      <c r="R71">
        <v>1853.44</v>
      </c>
      <c r="S71">
        <v>118.53</v>
      </c>
      <c r="T71">
        <v>1734.91</v>
      </c>
      <c r="U71">
        <v>6.51</v>
      </c>
      <c r="V71">
        <v>-7.45</v>
      </c>
      <c r="W71">
        <v>2.14</v>
      </c>
      <c r="X71">
        <v>10.88</v>
      </c>
      <c r="Y71">
        <v>-24.76</v>
      </c>
      <c r="Z71">
        <v>9.86</v>
      </c>
    </row>
    <row r="72" spans="1:26" x14ac:dyDescent="0.35">
      <c r="A72">
        <v>49</v>
      </c>
      <c r="B72" t="s">
        <v>121</v>
      </c>
      <c r="C72">
        <v>430.260009765625</v>
      </c>
      <c r="D72">
        <v>9.8400000000000001E-2</v>
      </c>
      <c r="E72">
        <v>301.3800048828125</v>
      </c>
      <c r="F72">
        <v>4.4400000000000002E-2</v>
      </c>
      <c r="G72">
        <v>128.88</v>
      </c>
      <c r="H72">
        <v>434.8599853515625</v>
      </c>
      <c r="I72">
        <v>9.9400000000000002E-2</v>
      </c>
      <c r="J72">
        <v>230.14999389648438</v>
      </c>
      <c r="K72">
        <v>3.1899999999999998E-2</v>
      </c>
      <c r="L72">
        <v>204.71</v>
      </c>
      <c r="M72">
        <v>463.42999267578125</v>
      </c>
      <c r="N72">
        <v>0.105</v>
      </c>
      <c r="O72">
        <v>247.28999328613281</v>
      </c>
      <c r="P72">
        <v>3.1899999999999998E-2</v>
      </c>
      <c r="Q72">
        <v>216.14</v>
      </c>
      <c r="R72">
        <v>1328.55</v>
      </c>
      <c r="S72">
        <v>778.82</v>
      </c>
      <c r="T72">
        <v>549.73</v>
      </c>
      <c r="U72">
        <v>3.82</v>
      </c>
      <c r="V72">
        <v>-8.09</v>
      </c>
      <c r="W72">
        <v>1.07</v>
      </c>
      <c r="X72">
        <v>6.57</v>
      </c>
      <c r="Y72">
        <v>-23.63</v>
      </c>
      <c r="Z72">
        <v>7.45</v>
      </c>
    </row>
    <row r="73" spans="1:26" x14ac:dyDescent="0.35">
      <c r="A73">
        <v>5</v>
      </c>
      <c r="B73" t="s">
        <v>77</v>
      </c>
      <c r="C73">
        <v>268.95001220703125</v>
      </c>
      <c r="D73">
        <v>6.1499999999999999E-2</v>
      </c>
      <c r="E73">
        <v>43.380001068115234</v>
      </c>
      <c r="F73">
        <v>6.4000000000000003E-3</v>
      </c>
      <c r="G73">
        <v>225.57</v>
      </c>
      <c r="H73">
        <v>289.79000854492188</v>
      </c>
      <c r="I73">
        <v>6.6199999999999995E-2</v>
      </c>
      <c r="J73">
        <v>44.509998321533203</v>
      </c>
      <c r="K73">
        <v>6.1999999999999998E-3</v>
      </c>
      <c r="L73">
        <v>245.28</v>
      </c>
      <c r="M73">
        <v>373.6400146484375</v>
      </c>
      <c r="N73">
        <v>8.4599999999999995E-2</v>
      </c>
      <c r="O73">
        <v>54.630001068115234</v>
      </c>
      <c r="P73">
        <v>7.0000000000000001E-3</v>
      </c>
      <c r="Q73">
        <v>319.01</v>
      </c>
      <c r="R73">
        <v>932.38</v>
      </c>
      <c r="S73">
        <v>142.52000000000001</v>
      </c>
      <c r="T73">
        <v>789.86</v>
      </c>
      <c r="U73">
        <v>18.34</v>
      </c>
      <c r="V73">
        <v>12.67</v>
      </c>
      <c r="W73">
        <v>7.75</v>
      </c>
      <c r="X73">
        <v>28.93</v>
      </c>
      <c r="Y73">
        <v>2.6</v>
      </c>
      <c r="Z73">
        <v>22.74</v>
      </c>
    </row>
    <row r="74" spans="1:26" x14ac:dyDescent="0.35">
      <c r="A74">
        <v>11</v>
      </c>
      <c r="B74" t="s">
        <v>83</v>
      </c>
      <c r="C74">
        <v>720.84002685546875</v>
      </c>
      <c r="D74">
        <v>0.16489999999999999</v>
      </c>
      <c r="E74">
        <v>91.519996643066406</v>
      </c>
      <c r="F74">
        <v>1.35E-2</v>
      </c>
      <c r="G74">
        <v>629.32000000000005</v>
      </c>
      <c r="H74">
        <v>727.530029296875</v>
      </c>
      <c r="I74">
        <v>0.16619999999999999</v>
      </c>
      <c r="J74">
        <v>109.08999633789063</v>
      </c>
      <c r="K74">
        <v>1.5100000000000001E-2</v>
      </c>
      <c r="L74">
        <v>618.44000000000005</v>
      </c>
      <c r="M74">
        <v>626.32000732421875</v>
      </c>
      <c r="N74">
        <v>0.1419</v>
      </c>
      <c r="O74">
        <v>123.80999755859375</v>
      </c>
      <c r="P74">
        <v>1.6E-2</v>
      </c>
      <c r="Q74">
        <v>502.51</v>
      </c>
      <c r="R74">
        <v>2074.69</v>
      </c>
      <c r="S74">
        <v>324.42</v>
      </c>
      <c r="T74">
        <v>1750.27</v>
      </c>
      <c r="U74">
        <v>-6.49</v>
      </c>
      <c r="V74">
        <v>16.350000000000001</v>
      </c>
      <c r="W74">
        <v>0.93</v>
      </c>
      <c r="X74">
        <v>-13.91</v>
      </c>
      <c r="Y74">
        <v>19.2</v>
      </c>
      <c r="Z74">
        <v>13.49</v>
      </c>
    </row>
    <row r="75" spans="1:26" x14ac:dyDescent="0.35">
      <c r="A75">
        <v>97</v>
      </c>
      <c r="B75" t="s">
        <v>169</v>
      </c>
      <c r="C75">
        <v>24.829999923706055</v>
      </c>
      <c r="D75">
        <v>5.7000000000000002E-3</v>
      </c>
      <c r="E75">
        <v>1467.72998046875</v>
      </c>
      <c r="F75">
        <v>0.21640000000000001</v>
      </c>
      <c r="G75">
        <v>-1442.9</v>
      </c>
      <c r="H75">
        <v>16.690000534057617</v>
      </c>
      <c r="I75">
        <v>3.8E-3</v>
      </c>
      <c r="J75">
        <v>1163.1199951171875</v>
      </c>
      <c r="K75">
        <v>0.1613</v>
      </c>
      <c r="L75">
        <v>-1146.43</v>
      </c>
      <c r="M75">
        <v>12.470000267028809</v>
      </c>
      <c r="N75">
        <v>2.8E-3</v>
      </c>
      <c r="O75">
        <v>1112.8399658203125</v>
      </c>
      <c r="P75">
        <v>0.14349999999999999</v>
      </c>
      <c r="Q75">
        <v>-1100.3699999999999</v>
      </c>
      <c r="R75">
        <v>53.99</v>
      </c>
      <c r="S75">
        <v>3743.69</v>
      </c>
      <c r="T75">
        <v>-3689.7</v>
      </c>
      <c r="U75">
        <v>-29.03</v>
      </c>
      <c r="V75">
        <v>-12.54</v>
      </c>
      <c r="W75">
        <v>-32.78</v>
      </c>
      <c r="X75">
        <v>-25.28</v>
      </c>
      <c r="Y75">
        <v>-20.75</v>
      </c>
      <c r="Z75">
        <v>-4.32</v>
      </c>
    </row>
    <row r="76" spans="1:26" x14ac:dyDescent="0.35">
      <c r="A76">
        <v>47</v>
      </c>
      <c r="B76" t="s">
        <v>119</v>
      </c>
      <c r="C76">
        <v>8.8900003433227539</v>
      </c>
      <c r="D76">
        <v>2E-3</v>
      </c>
      <c r="E76">
        <v>3137.2900390625</v>
      </c>
      <c r="F76">
        <v>0.46260000000000001</v>
      </c>
      <c r="G76">
        <v>-3128.4</v>
      </c>
      <c r="H76">
        <v>6.2800002098083496</v>
      </c>
      <c r="I76">
        <v>1.4E-3</v>
      </c>
      <c r="J76">
        <v>3247.449951171875</v>
      </c>
      <c r="K76">
        <v>0.45029999999999998</v>
      </c>
      <c r="L76">
        <v>-3241.17</v>
      </c>
      <c r="M76">
        <v>0.98000001907348633</v>
      </c>
      <c r="N76">
        <v>2.0000000000000001E-4</v>
      </c>
      <c r="O76">
        <v>3348.010009765625</v>
      </c>
      <c r="P76">
        <v>0.43159999999999998</v>
      </c>
      <c r="Q76">
        <v>-3347.03</v>
      </c>
      <c r="R76">
        <v>16.149999999999999</v>
      </c>
      <c r="S76">
        <v>9732.75</v>
      </c>
      <c r="T76">
        <v>-9716.6</v>
      </c>
      <c r="U76">
        <v>-56.88</v>
      </c>
      <c r="V76">
        <v>3.3</v>
      </c>
      <c r="W76">
        <v>-29.36</v>
      </c>
      <c r="X76">
        <v>-84.39</v>
      </c>
      <c r="Y76">
        <v>3.51</v>
      </c>
      <c r="Z76">
        <v>3.1</v>
      </c>
    </row>
    <row r="77" spans="1:26" x14ac:dyDescent="0.35">
      <c r="A77">
        <v>85</v>
      </c>
      <c r="B77" t="s">
        <v>157</v>
      </c>
      <c r="C77">
        <v>315.16000366210938</v>
      </c>
      <c r="D77">
        <v>7.2099999999999997E-2</v>
      </c>
      <c r="E77">
        <v>776.69000244140625</v>
      </c>
      <c r="F77">
        <v>0.1145</v>
      </c>
      <c r="G77">
        <v>-461.53</v>
      </c>
      <c r="H77">
        <v>357.1099853515625</v>
      </c>
      <c r="I77">
        <v>8.1600000000000006E-2</v>
      </c>
      <c r="J77">
        <v>748.25</v>
      </c>
      <c r="K77">
        <v>0.1038</v>
      </c>
      <c r="L77">
        <v>-391.14</v>
      </c>
      <c r="M77">
        <v>504.1099853515625</v>
      </c>
      <c r="N77">
        <v>0.1142</v>
      </c>
      <c r="O77">
        <v>808.47998046875</v>
      </c>
      <c r="P77">
        <v>0.1042</v>
      </c>
      <c r="Q77">
        <v>-304.37</v>
      </c>
      <c r="R77">
        <v>1176.3800000000001</v>
      </c>
      <c r="S77">
        <v>2333.42</v>
      </c>
      <c r="T77">
        <v>-1157.04</v>
      </c>
      <c r="U77">
        <v>27.24</v>
      </c>
      <c r="V77">
        <v>2.19</v>
      </c>
      <c r="W77">
        <v>13.31</v>
      </c>
      <c r="X77">
        <v>41.16</v>
      </c>
      <c r="Y77">
        <v>-3.66</v>
      </c>
      <c r="Z77">
        <v>8.0500000000000007</v>
      </c>
    </row>
    <row r="78" spans="1:26" x14ac:dyDescent="0.35">
      <c r="A78">
        <v>41</v>
      </c>
      <c r="B78" t="s">
        <v>113</v>
      </c>
      <c r="C78">
        <v>448.739990234375</v>
      </c>
      <c r="D78">
        <v>0.1027</v>
      </c>
      <c r="E78">
        <v>400.989990234375</v>
      </c>
      <c r="F78">
        <v>5.91E-2</v>
      </c>
      <c r="G78">
        <v>47.75</v>
      </c>
      <c r="H78">
        <v>446.67999267578125</v>
      </c>
      <c r="I78">
        <v>0.1021</v>
      </c>
      <c r="J78">
        <v>425.92001342773438</v>
      </c>
      <c r="K78">
        <v>5.91E-2</v>
      </c>
      <c r="L78">
        <v>20.76</v>
      </c>
      <c r="M78">
        <v>399.07998657226563</v>
      </c>
      <c r="N78">
        <v>9.0399999999999994E-2</v>
      </c>
      <c r="O78">
        <v>390.98001098632813</v>
      </c>
      <c r="P78">
        <v>5.04E-2</v>
      </c>
      <c r="Q78">
        <v>8.1</v>
      </c>
      <c r="R78">
        <v>1294.5</v>
      </c>
      <c r="S78">
        <v>1217.8900000000001</v>
      </c>
      <c r="T78">
        <v>76.61</v>
      </c>
      <c r="U78">
        <v>-5.56</v>
      </c>
      <c r="V78">
        <v>-0.99</v>
      </c>
      <c r="W78">
        <v>-0.46</v>
      </c>
      <c r="X78">
        <v>-10.66</v>
      </c>
      <c r="Y78">
        <v>6.22</v>
      </c>
      <c r="Z78">
        <v>-8.1999999999999993</v>
      </c>
    </row>
    <row r="79" spans="1:26" x14ac:dyDescent="0.35">
      <c r="A79">
        <v>23</v>
      </c>
      <c r="B79" t="s">
        <v>95</v>
      </c>
      <c r="C79">
        <v>2782.860107421875</v>
      </c>
      <c r="D79">
        <v>0.63670000000000004</v>
      </c>
      <c r="E79">
        <v>645.04998779296875</v>
      </c>
      <c r="F79">
        <v>9.5100000000000004E-2</v>
      </c>
      <c r="G79">
        <v>2137.81</v>
      </c>
      <c r="H79">
        <v>2215</v>
      </c>
      <c r="I79">
        <v>0.50600000000000001</v>
      </c>
      <c r="J79">
        <v>699.53997802734375</v>
      </c>
      <c r="K79">
        <v>9.7000000000000003E-2</v>
      </c>
      <c r="L79">
        <v>1515.46</v>
      </c>
      <c r="M79">
        <v>2240.8701171875</v>
      </c>
      <c r="N79">
        <v>0.50760000000000005</v>
      </c>
      <c r="O79">
        <v>868.8599853515625</v>
      </c>
      <c r="P79">
        <v>0.112</v>
      </c>
      <c r="Q79">
        <v>1372.01</v>
      </c>
      <c r="R79">
        <v>7238.73</v>
      </c>
      <c r="S79">
        <v>2213.4499999999998</v>
      </c>
      <c r="T79">
        <v>5025.28</v>
      </c>
      <c r="U79">
        <v>-9.6199999999999992</v>
      </c>
      <c r="V79">
        <v>16.329999999999998</v>
      </c>
      <c r="W79">
        <v>-20.41</v>
      </c>
      <c r="X79">
        <v>1.17</v>
      </c>
      <c r="Y79">
        <v>8.4499999999999993</v>
      </c>
      <c r="Z79">
        <v>24.2</v>
      </c>
    </row>
    <row r="80" spans="1:26" x14ac:dyDescent="0.35">
      <c r="A80">
        <v>40</v>
      </c>
      <c r="B80" t="s">
        <v>112</v>
      </c>
      <c r="C80">
        <v>4575.93017578125</v>
      </c>
      <c r="D80">
        <v>1.0469999999999999</v>
      </c>
      <c r="E80">
        <v>3914.050048828125</v>
      </c>
      <c r="F80">
        <v>0.57709999999999995</v>
      </c>
      <c r="G80">
        <v>661.88</v>
      </c>
      <c r="H80">
        <v>4862.41015625</v>
      </c>
      <c r="I80">
        <v>1.1109</v>
      </c>
      <c r="J80">
        <v>4633.14013671875</v>
      </c>
      <c r="K80">
        <v>0.64239999999999997</v>
      </c>
      <c r="L80">
        <v>229.27</v>
      </c>
      <c r="M80">
        <v>5074.8701171875</v>
      </c>
      <c r="N80">
        <v>1.1496</v>
      </c>
      <c r="O80">
        <v>4974.60986328125</v>
      </c>
      <c r="P80">
        <v>0.64129999999999998</v>
      </c>
      <c r="Q80">
        <v>100.26</v>
      </c>
      <c r="R80">
        <v>14513.21</v>
      </c>
      <c r="S80">
        <v>13521.8</v>
      </c>
      <c r="T80">
        <v>991.41</v>
      </c>
      <c r="U80">
        <v>5.32</v>
      </c>
      <c r="V80">
        <v>12.87</v>
      </c>
      <c r="W80">
        <v>6.26</v>
      </c>
      <c r="X80">
        <v>4.37</v>
      </c>
      <c r="Y80">
        <v>18.37</v>
      </c>
      <c r="Z80">
        <v>7.37</v>
      </c>
    </row>
    <row r="81" spans="1:26" x14ac:dyDescent="0.35">
      <c r="A81">
        <v>25</v>
      </c>
      <c r="B81" t="s">
        <v>97</v>
      </c>
      <c r="C81">
        <v>2224.3798828125</v>
      </c>
      <c r="D81">
        <v>0.50890000000000002</v>
      </c>
      <c r="E81">
        <v>4255.47021484375</v>
      </c>
      <c r="F81">
        <v>0.62749999999999995</v>
      </c>
      <c r="G81">
        <v>-2031.09</v>
      </c>
      <c r="H81">
        <v>2038.5699462890625</v>
      </c>
      <c r="I81">
        <v>0.4657</v>
      </c>
      <c r="J81">
        <v>4974.419921875</v>
      </c>
      <c r="K81">
        <v>0.68969999999999998</v>
      </c>
      <c r="L81">
        <v>-2935.85</v>
      </c>
      <c r="M81">
        <v>2281.679931640625</v>
      </c>
      <c r="N81">
        <v>0.51690000000000003</v>
      </c>
      <c r="O81">
        <v>5288.27001953125</v>
      </c>
      <c r="P81">
        <v>0.68169999999999997</v>
      </c>
      <c r="Q81">
        <v>-3006.59</v>
      </c>
      <c r="R81">
        <v>6544.63</v>
      </c>
      <c r="S81">
        <v>14518.16</v>
      </c>
      <c r="T81">
        <v>-7973.53</v>
      </c>
      <c r="U81">
        <v>1.79</v>
      </c>
      <c r="V81">
        <v>11.6</v>
      </c>
      <c r="W81">
        <v>-8.35</v>
      </c>
      <c r="X81">
        <v>11.93</v>
      </c>
      <c r="Y81">
        <v>16.89</v>
      </c>
      <c r="Z81">
        <v>6.31</v>
      </c>
    </row>
    <row r="82" spans="1:26" x14ac:dyDescent="0.35">
      <c r="A82">
        <v>88</v>
      </c>
      <c r="B82" t="s">
        <v>160</v>
      </c>
      <c r="C82">
        <v>4059.52001953125</v>
      </c>
      <c r="D82">
        <v>0.92879999999999996</v>
      </c>
      <c r="E82">
        <v>3747.1201171875</v>
      </c>
      <c r="F82">
        <v>0.55249999999999999</v>
      </c>
      <c r="G82">
        <v>312.39999999999998</v>
      </c>
      <c r="H82">
        <v>4295.580078125</v>
      </c>
      <c r="I82">
        <v>0.98140000000000005</v>
      </c>
      <c r="J82">
        <v>4626.990234375</v>
      </c>
      <c r="K82">
        <v>0.64159999999999995</v>
      </c>
      <c r="L82">
        <v>-331.41</v>
      </c>
      <c r="M82">
        <v>4110.77001953125</v>
      </c>
      <c r="N82">
        <v>0.93120000000000003</v>
      </c>
      <c r="O82">
        <v>4559.990234375</v>
      </c>
      <c r="P82">
        <v>0.58779999999999999</v>
      </c>
      <c r="Q82">
        <v>-449.22</v>
      </c>
      <c r="R82">
        <v>12465.87</v>
      </c>
      <c r="S82">
        <v>12934.1</v>
      </c>
      <c r="T82">
        <v>-468.23</v>
      </c>
      <c r="U82">
        <v>0.76</v>
      </c>
      <c r="V82">
        <v>11.02</v>
      </c>
      <c r="W82">
        <v>5.81</v>
      </c>
      <c r="X82">
        <v>-4.3</v>
      </c>
      <c r="Y82">
        <v>23.48</v>
      </c>
      <c r="Z82">
        <v>-1.45</v>
      </c>
    </row>
    <row r="83" spans="1:26" x14ac:dyDescent="0.35">
      <c r="A83">
        <v>50</v>
      </c>
      <c r="B83" t="s">
        <v>122</v>
      </c>
      <c r="C83">
        <v>124.05999755859375</v>
      </c>
      <c r="D83">
        <v>2.8400000000000002E-2</v>
      </c>
      <c r="E83">
        <v>208.53999328613281</v>
      </c>
      <c r="F83">
        <v>3.0700000000000002E-2</v>
      </c>
      <c r="G83">
        <v>-84.48</v>
      </c>
      <c r="H83">
        <v>162.72000122070313</v>
      </c>
      <c r="I83">
        <v>3.7199999999999997E-2</v>
      </c>
      <c r="J83">
        <v>176.96000671386719</v>
      </c>
      <c r="K83">
        <v>2.4500000000000001E-2</v>
      </c>
      <c r="L83">
        <v>-14.24</v>
      </c>
      <c r="M83">
        <v>257.1199951171875</v>
      </c>
      <c r="N83">
        <v>5.8200000000000002E-2</v>
      </c>
      <c r="O83">
        <v>208.1300048828125</v>
      </c>
      <c r="P83">
        <v>2.6800000000000001E-2</v>
      </c>
      <c r="Q83">
        <v>48.99</v>
      </c>
      <c r="R83">
        <v>543.9</v>
      </c>
      <c r="S83">
        <v>593.63</v>
      </c>
      <c r="T83">
        <v>-49.73</v>
      </c>
      <c r="U83">
        <v>44.59</v>
      </c>
      <c r="V83">
        <v>1.24</v>
      </c>
      <c r="W83">
        <v>31.16</v>
      </c>
      <c r="X83">
        <v>58.01</v>
      </c>
      <c r="Y83">
        <v>-15.14</v>
      </c>
      <c r="Z83">
        <v>17.61</v>
      </c>
    </row>
    <row r="84" spans="1:26" x14ac:dyDescent="0.35">
      <c r="A84">
        <v>34</v>
      </c>
      <c r="B84" t="s">
        <v>106</v>
      </c>
      <c r="C84">
        <v>995.41998291015625</v>
      </c>
      <c r="D84">
        <v>0.22770000000000001</v>
      </c>
      <c r="E84">
        <v>1193.3499755859375</v>
      </c>
      <c r="F84">
        <v>0.17599999999999999</v>
      </c>
      <c r="G84">
        <v>-197.93</v>
      </c>
      <c r="H84">
        <v>1077.300048828125</v>
      </c>
      <c r="I84">
        <v>0.24610000000000001</v>
      </c>
      <c r="J84">
        <v>1475.1700439453125</v>
      </c>
      <c r="K84">
        <v>0.20449999999999999</v>
      </c>
      <c r="L84">
        <v>-397.87</v>
      </c>
      <c r="M84">
        <v>1063.3399658203125</v>
      </c>
      <c r="N84">
        <v>0.2409</v>
      </c>
      <c r="O84">
        <v>1430.2099609375</v>
      </c>
      <c r="P84">
        <v>0.18440000000000001</v>
      </c>
      <c r="Q84">
        <v>-366.87</v>
      </c>
      <c r="R84">
        <v>3136.06</v>
      </c>
      <c r="S84">
        <v>4098.7299999999996</v>
      </c>
      <c r="T84">
        <v>-962.67</v>
      </c>
      <c r="U84">
        <v>3.46</v>
      </c>
      <c r="V84">
        <v>10.28</v>
      </c>
      <c r="W84">
        <v>8.23</v>
      </c>
      <c r="X84">
        <v>-1.3</v>
      </c>
      <c r="Y84">
        <v>23.62</v>
      </c>
      <c r="Z84">
        <v>-3.05</v>
      </c>
    </row>
    <row r="85" spans="1:26" x14ac:dyDescent="0.35">
      <c r="A85">
        <v>58</v>
      </c>
      <c r="B85" t="s">
        <v>130</v>
      </c>
      <c r="C85">
        <v>360.1199951171875</v>
      </c>
      <c r="D85">
        <v>8.2400000000000001E-2</v>
      </c>
      <c r="E85">
        <v>199.55999755859375</v>
      </c>
      <c r="F85">
        <v>2.9399999999999999E-2</v>
      </c>
      <c r="G85">
        <v>160.56</v>
      </c>
      <c r="H85">
        <v>367.47000122070313</v>
      </c>
      <c r="I85">
        <v>8.4000000000000005E-2</v>
      </c>
      <c r="J85">
        <v>227.66999816894531</v>
      </c>
      <c r="K85">
        <v>3.1600000000000003E-2</v>
      </c>
      <c r="L85">
        <v>139.80000000000001</v>
      </c>
      <c r="M85">
        <v>389.989990234375</v>
      </c>
      <c r="N85">
        <v>8.8300000000000003E-2</v>
      </c>
      <c r="O85">
        <v>241.05999755859375</v>
      </c>
      <c r="P85">
        <v>3.1099999999999999E-2</v>
      </c>
      <c r="Q85">
        <v>148.93</v>
      </c>
      <c r="R85">
        <v>1117.58</v>
      </c>
      <c r="S85">
        <v>668.29</v>
      </c>
      <c r="T85">
        <v>449.29</v>
      </c>
      <c r="U85">
        <v>4.08</v>
      </c>
      <c r="V85">
        <v>9.98</v>
      </c>
      <c r="W85">
        <v>2.04</v>
      </c>
      <c r="X85">
        <v>6.13</v>
      </c>
      <c r="Y85">
        <v>14.09</v>
      </c>
      <c r="Z85">
        <v>5.88</v>
      </c>
    </row>
    <row r="86" spans="1:26" x14ac:dyDescent="0.35">
      <c r="A86">
        <v>17</v>
      </c>
      <c r="B86" t="s">
        <v>89</v>
      </c>
      <c r="C86">
        <v>3291.659912109375</v>
      </c>
      <c r="D86">
        <v>0.75309999999999999</v>
      </c>
      <c r="E86">
        <v>2149.580078125</v>
      </c>
      <c r="F86">
        <v>0.31690000000000002</v>
      </c>
      <c r="G86">
        <v>1142.08</v>
      </c>
      <c r="H86">
        <v>2501.43994140625</v>
      </c>
      <c r="I86">
        <v>0.57150000000000001</v>
      </c>
      <c r="J86">
        <v>1547.050048828125</v>
      </c>
      <c r="K86">
        <v>0.2145</v>
      </c>
      <c r="L86">
        <v>954.39</v>
      </c>
      <c r="M86">
        <v>2464.8798828125</v>
      </c>
      <c r="N86">
        <v>0.55840000000000001</v>
      </c>
      <c r="O86">
        <v>1444.9599609375</v>
      </c>
      <c r="P86">
        <v>0.18629999999999999</v>
      </c>
      <c r="Q86">
        <v>1019.92</v>
      </c>
      <c r="R86">
        <v>8257.98</v>
      </c>
      <c r="S86">
        <v>5141.59</v>
      </c>
      <c r="T86">
        <v>3116.39</v>
      </c>
      <c r="U86">
        <v>-12.73</v>
      </c>
      <c r="V86">
        <v>-17.309999999999999</v>
      </c>
      <c r="W86">
        <v>-24.01</v>
      </c>
      <c r="X86">
        <v>-1.46</v>
      </c>
      <c r="Y86">
        <v>-28.03</v>
      </c>
      <c r="Z86">
        <v>-6.6</v>
      </c>
    </row>
    <row r="87" spans="1:26" x14ac:dyDescent="0.35">
      <c r="A87">
        <v>32</v>
      </c>
      <c r="B87" t="s">
        <v>104</v>
      </c>
      <c r="C87">
        <v>3983.330078125</v>
      </c>
      <c r="D87">
        <v>0.91139999999999999</v>
      </c>
      <c r="E87">
        <v>3638.659912109375</v>
      </c>
      <c r="F87">
        <v>0.53649999999999998</v>
      </c>
      <c r="G87">
        <v>344.67</v>
      </c>
      <c r="H87">
        <v>3561.360107421875</v>
      </c>
      <c r="I87">
        <v>0.81359999999999999</v>
      </c>
      <c r="J87">
        <v>2873.610107421875</v>
      </c>
      <c r="K87">
        <v>0.39839999999999998</v>
      </c>
      <c r="L87">
        <v>687.75</v>
      </c>
      <c r="M87">
        <v>3171.6298828125</v>
      </c>
      <c r="N87">
        <v>0.71850000000000003</v>
      </c>
      <c r="O87">
        <v>2685.510009765625</v>
      </c>
      <c r="P87">
        <v>0.34620000000000001</v>
      </c>
      <c r="Q87">
        <v>486.12</v>
      </c>
      <c r="R87">
        <v>10716.32</v>
      </c>
      <c r="S87">
        <v>9197.7800000000007</v>
      </c>
      <c r="T87">
        <v>1518.54</v>
      </c>
      <c r="U87">
        <v>-10.77</v>
      </c>
      <c r="V87">
        <v>-13.79</v>
      </c>
      <c r="W87">
        <v>-10.59</v>
      </c>
      <c r="X87">
        <v>-10.94</v>
      </c>
      <c r="Y87">
        <v>-21.03</v>
      </c>
      <c r="Z87">
        <v>-6.55</v>
      </c>
    </row>
    <row r="88" spans="1:26" x14ac:dyDescent="0.35">
      <c r="A88">
        <v>79</v>
      </c>
      <c r="B88" t="s">
        <v>151</v>
      </c>
      <c r="C88">
        <v>16.600000381469727</v>
      </c>
      <c r="D88">
        <v>3.8E-3</v>
      </c>
      <c r="E88">
        <v>338.8800048828125</v>
      </c>
      <c r="F88">
        <v>0.05</v>
      </c>
      <c r="G88">
        <v>-322.27999999999997</v>
      </c>
      <c r="H88">
        <v>23.909999847412109</v>
      </c>
      <c r="I88">
        <v>5.4999999999999997E-3</v>
      </c>
      <c r="J88">
        <v>494.64999389648438</v>
      </c>
      <c r="K88">
        <v>6.8599999999999994E-2</v>
      </c>
      <c r="L88">
        <v>-470.74</v>
      </c>
      <c r="M88">
        <v>51.970001220703125</v>
      </c>
      <c r="N88">
        <v>1.18E-2</v>
      </c>
      <c r="O88">
        <v>517.96002197265625</v>
      </c>
      <c r="P88">
        <v>6.6799999999999998E-2</v>
      </c>
      <c r="Q88">
        <v>-465.99</v>
      </c>
      <c r="R88">
        <v>92.48</v>
      </c>
      <c r="S88">
        <v>1351.49</v>
      </c>
      <c r="T88">
        <v>-1259.01</v>
      </c>
      <c r="U88">
        <v>80.7</v>
      </c>
      <c r="V88">
        <v>25.34</v>
      </c>
      <c r="W88">
        <v>44.04</v>
      </c>
      <c r="X88">
        <v>117.36</v>
      </c>
      <c r="Y88">
        <v>45.97</v>
      </c>
      <c r="Z88">
        <v>4.71</v>
      </c>
    </row>
    <row r="89" spans="1:26" x14ac:dyDescent="0.35">
      <c r="A89">
        <v>24</v>
      </c>
      <c r="B89" t="s">
        <v>96</v>
      </c>
      <c r="C89">
        <v>1449.5400390625</v>
      </c>
      <c r="D89">
        <v>0.33160000000000001</v>
      </c>
      <c r="E89">
        <v>103.79000091552734</v>
      </c>
      <c r="F89">
        <v>1.5299999999999999E-2</v>
      </c>
      <c r="G89">
        <v>1345.75</v>
      </c>
      <c r="H89">
        <v>1979</v>
      </c>
      <c r="I89">
        <v>0.4521</v>
      </c>
      <c r="J89">
        <v>117.11000061035156</v>
      </c>
      <c r="K89">
        <v>1.6199999999999999E-2</v>
      </c>
      <c r="L89">
        <v>1861.89</v>
      </c>
      <c r="M89">
        <v>1948.97998046875</v>
      </c>
      <c r="N89">
        <v>0.4415</v>
      </c>
      <c r="O89">
        <v>145.38999938964844</v>
      </c>
      <c r="P89">
        <v>1.8700000000000001E-2</v>
      </c>
      <c r="Q89">
        <v>1803.59</v>
      </c>
      <c r="R89">
        <v>5377.52</v>
      </c>
      <c r="S89">
        <v>366.29</v>
      </c>
      <c r="T89">
        <v>5011.2299999999996</v>
      </c>
      <c r="U89">
        <v>17.5</v>
      </c>
      <c r="V89">
        <v>18.489999999999998</v>
      </c>
      <c r="W89">
        <v>36.53</v>
      </c>
      <c r="X89">
        <v>-1.52</v>
      </c>
      <c r="Y89">
        <v>12.83</v>
      </c>
      <c r="Z89">
        <v>24.15</v>
      </c>
    </row>
    <row r="90" spans="1:26" x14ac:dyDescent="0.35">
      <c r="A90">
        <v>81</v>
      </c>
      <c r="B90" t="s">
        <v>153</v>
      </c>
      <c r="C90">
        <v>1055.5699462890625</v>
      </c>
      <c r="D90">
        <v>0.24149999999999999</v>
      </c>
      <c r="E90">
        <v>1360.6700439453125</v>
      </c>
      <c r="F90">
        <v>0.2006</v>
      </c>
      <c r="G90">
        <v>-305.10000000000002</v>
      </c>
      <c r="H90">
        <v>1181.199951171875</v>
      </c>
      <c r="I90">
        <v>0.26989999999999997</v>
      </c>
      <c r="J90">
        <v>1491.02001953125</v>
      </c>
      <c r="K90">
        <v>0.20669999999999999</v>
      </c>
      <c r="L90">
        <v>-309.82</v>
      </c>
      <c r="M90">
        <v>1148.9000244140625</v>
      </c>
      <c r="N90">
        <v>0.26029999999999998</v>
      </c>
      <c r="O90">
        <v>1697.1700439453125</v>
      </c>
      <c r="P90">
        <v>0.21879999999999999</v>
      </c>
      <c r="Q90">
        <v>-548.27</v>
      </c>
      <c r="R90">
        <v>3385.67</v>
      </c>
      <c r="S90">
        <v>4548.8599999999997</v>
      </c>
      <c r="T90">
        <v>-1163.19</v>
      </c>
      <c r="U90">
        <v>4.58</v>
      </c>
      <c r="V90">
        <v>11.7</v>
      </c>
      <c r="W90">
        <v>11.9</v>
      </c>
      <c r="X90">
        <v>-2.73</v>
      </c>
      <c r="Y90">
        <v>9.58</v>
      </c>
      <c r="Z90">
        <v>13.83</v>
      </c>
    </row>
    <row r="91" spans="1:26" x14ac:dyDescent="0.35">
      <c r="A91">
        <v>94</v>
      </c>
      <c r="B91" t="s">
        <v>166</v>
      </c>
      <c r="C91">
        <v>523.239990234375</v>
      </c>
      <c r="D91">
        <v>0.1197</v>
      </c>
      <c r="E91">
        <v>517.5999755859375</v>
      </c>
      <c r="F91">
        <v>7.6300000000000007E-2</v>
      </c>
      <c r="G91">
        <v>5.64</v>
      </c>
      <c r="H91">
        <v>570.95001220703125</v>
      </c>
      <c r="I91">
        <v>0.13039999999999999</v>
      </c>
      <c r="J91">
        <v>544.92999267578125</v>
      </c>
      <c r="K91">
        <v>7.5600000000000001E-2</v>
      </c>
      <c r="L91">
        <v>26.02</v>
      </c>
      <c r="M91">
        <v>602.719970703125</v>
      </c>
      <c r="N91">
        <v>0.13650000000000001</v>
      </c>
      <c r="O91">
        <v>638.52001953125</v>
      </c>
      <c r="P91">
        <v>8.2299999999999998E-2</v>
      </c>
      <c r="Q91">
        <v>-35.799999999999997</v>
      </c>
      <c r="R91">
        <v>1696.91</v>
      </c>
      <c r="S91">
        <v>1701.05</v>
      </c>
      <c r="T91">
        <v>-4.1399999999999997</v>
      </c>
      <c r="U91">
        <v>7.34</v>
      </c>
      <c r="V91">
        <v>11.23</v>
      </c>
      <c r="W91">
        <v>9.1199999999999992</v>
      </c>
      <c r="X91">
        <v>5.56</v>
      </c>
      <c r="Y91">
        <v>5.28</v>
      </c>
      <c r="Z91">
        <v>17.170000000000002</v>
      </c>
    </row>
    <row r="92" spans="1:26" x14ac:dyDescent="0.35">
      <c r="A92">
        <v>66</v>
      </c>
      <c r="B92" t="s">
        <v>138</v>
      </c>
      <c r="C92">
        <v>4.5199999809265137</v>
      </c>
      <c r="D92">
        <v>1E-3</v>
      </c>
      <c r="E92">
        <v>49.909999847412109</v>
      </c>
      <c r="F92">
        <v>7.4000000000000003E-3</v>
      </c>
      <c r="G92">
        <v>-45.39</v>
      </c>
      <c r="H92">
        <v>5.2899999618530273</v>
      </c>
      <c r="I92">
        <v>1.1999999999999999E-3</v>
      </c>
      <c r="J92">
        <v>52.209999084472656</v>
      </c>
      <c r="K92">
        <v>7.1999999999999998E-3</v>
      </c>
      <c r="L92">
        <v>-46.92</v>
      </c>
      <c r="M92">
        <v>6.4899997711181641</v>
      </c>
      <c r="N92">
        <v>1.5E-3</v>
      </c>
      <c r="O92">
        <v>40.990001678466797</v>
      </c>
      <c r="P92">
        <v>5.3E-3</v>
      </c>
      <c r="Q92">
        <v>-34.5</v>
      </c>
      <c r="R92">
        <v>16.3</v>
      </c>
      <c r="S92">
        <v>143.11000000000001</v>
      </c>
      <c r="T92">
        <v>-126.81</v>
      </c>
      <c r="U92">
        <v>19.86</v>
      </c>
      <c r="V92">
        <v>-8.44</v>
      </c>
      <c r="W92">
        <v>17.04</v>
      </c>
      <c r="X92">
        <v>22.68</v>
      </c>
      <c r="Y92">
        <v>4.6100000000000003</v>
      </c>
      <c r="Z92">
        <v>-21.49</v>
      </c>
    </row>
    <row r="93" spans="1:26" x14ac:dyDescent="0.35">
      <c r="A93">
        <v>14</v>
      </c>
      <c r="B93" t="s">
        <v>86</v>
      </c>
      <c r="C93">
        <v>45.770000457763672</v>
      </c>
      <c r="D93">
        <v>1.0500000000000001E-2</v>
      </c>
      <c r="E93">
        <v>109.30999755859375</v>
      </c>
      <c r="F93">
        <v>1.61E-2</v>
      </c>
      <c r="G93">
        <v>-63.54</v>
      </c>
      <c r="H93">
        <v>46.950000762939453</v>
      </c>
      <c r="I93">
        <v>1.0699999999999999E-2</v>
      </c>
      <c r="J93">
        <v>127.33999633789063</v>
      </c>
      <c r="K93">
        <v>1.77E-2</v>
      </c>
      <c r="L93">
        <v>-80.39</v>
      </c>
      <c r="M93">
        <v>44.380001068115234</v>
      </c>
      <c r="N93">
        <v>1.01E-2</v>
      </c>
      <c r="O93">
        <v>132.42999267578125</v>
      </c>
      <c r="P93">
        <v>1.7100000000000001E-2</v>
      </c>
      <c r="Q93">
        <v>-88.05</v>
      </c>
      <c r="R93">
        <v>137.1</v>
      </c>
      <c r="S93">
        <v>369.08</v>
      </c>
      <c r="T93">
        <v>-231.98</v>
      </c>
      <c r="U93">
        <v>-1.45</v>
      </c>
      <c r="V93">
        <v>10.25</v>
      </c>
      <c r="W93">
        <v>2.58</v>
      </c>
      <c r="X93">
        <v>-5.47</v>
      </c>
      <c r="Y93">
        <v>16.489999999999998</v>
      </c>
      <c r="Z93">
        <v>4</v>
      </c>
    </row>
    <row r="94" spans="1:26" x14ac:dyDescent="0.35">
      <c r="A94">
        <v>86</v>
      </c>
      <c r="B94" t="s">
        <v>158</v>
      </c>
      <c r="C94">
        <v>20889.30078125</v>
      </c>
      <c r="D94">
        <v>4.7793999999999999</v>
      </c>
      <c r="E94">
        <v>7609.7900390625</v>
      </c>
      <c r="F94">
        <v>1.1220000000000001</v>
      </c>
      <c r="G94">
        <v>13279.51</v>
      </c>
      <c r="H94">
        <v>22648.380859375</v>
      </c>
      <c r="I94">
        <v>5.1744000000000003</v>
      </c>
      <c r="J94">
        <v>8259.1796875</v>
      </c>
      <c r="K94">
        <v>1.1452</v>
      </c>
      <c r="L94">
        <v>14389.2</v>
      </c>
      <c r="M94">
        <v>25973.359375</v>
      </c>
      <c r="N94">
        <v>5.8836000000000004</v>
      </c>
      <c r="O94">
        <v>9358.1904296875</v>
      </c>
      <c r="P94">
        <v>1.2063999999999999</v>
      </c>
      <c r="Q94">
        <v>16615.169999999998</v>
      </c>
      <c r="R94">
        <v>69511.039999999994</v>
      </c>
      <c r="S94">
        <v>25227.16</v>
      </c>
      <c r="T94">
        <v>44283.88</v>
      </c>
      <c r="U94">
        <v>11.55</v>
      </c>
      <c r="V94">
        <v>10.92</v>
      </c>
      <c r="W94">
        <v>8.42</v>
      </c>
      <c r="X94">
        <v>14.68</v>
      </c>
      <c r="Y94">
        <v>8.5299999999999994</v>
      </c>
      <c r="Z94">
        <v>13.31</v>
      </c>
    </row>
    <row r="95" spans="1:26" x14ac:dyDescent="0.35">
      <c r="A95">
        <v>56</v>
      </c>
      <c r="B95" t="s">
        <v>128</v>
      </c>
      <c r="C95">
        <v>574.8800048828125</v>
      </c>
      <c r="D95">
        <v>0.13150000000000001</v>
      </c>
      <c r="E95">
        <v>418.77999877929688</v>
      </c>
      <c r="F95">
        <v>6.1699999999999998E-2</v>
      </c>
      <c r="G95">
        <v>156.1</v>
      </c>
      <c r="H95">
        <v>666.25</v>
      </c>
      <c r="I95">
        <v>0.1522</v>
      </c>
      <c r="J95">
        <v>474.55999755859375</v>
      </c>
      <c r="K95">
        <v>6.5799999999999997E-2</v>
      </c>
      <c r="L95">
        <v>191.69</v>
      </c>
      <c r="M95">
        <v>608.3599853515625</v>
      </c>
      <c r="N95">
        <v>0.13780000000000001</v>
      </c>
      <c r="O95">
        <v>481.29998779296875</v>
      </c>
      <c r="P95">
        <v>6.2E-2</v>
      </c>
      <c r="Q95">
        <v>127.06</v>
      </c>
      <c r="R95">
        <v>1849.49</v>
      </c>
      <c r="S95">
        <v>1374.64</v>
      </c>
      <c r="T95">
        <v>474.85</v>
      </c>
      <c r="U95">
        <v>3.6</v>
      </c>
      <c r="V95">
        <v>7.37</v>
      </c>
      <c r="W95">
        <v>15.89</v>
      </c>
      <c r="X95">
        <v>-8.69</v>
      </c>
      <c r="Y95">
        <v>13.32</v>
      </c>
      <c r="Z95">
        <v>1.42</v>
      </c>
    </row>
    <row r="96" spans="1:26" x14ac:dyDescent="0.35">
      <c r="A96">
        <v>44</v>
      </c>
      <c r="B96" t="s">
        <v>116</v>
      </c>
      <c r="C96">
        <v>621.04998779296875</v>
      </c>
      <c r="D96">
        <v>0.1421</v>
      </c>
      <c r="E96">
        <v>2276.389892578125</v>
      </c>
      <c r="F96">
        <v>0.33560000000000001</v>
      </c>
      <c r="G96">
        <v>-1655.34</v>
      </c>
      <c r="H96">
        <v>590.22998046875</v>
      </c>
      <c r="I96">
        <v>0.1348</v>
      </c>
      <c r="J96">
        <v>2630.159912109375</v>
      </c>
      <c r="K96">
        <v>0.36470000000000002</v>
      </c>
      <c r="L96">
        <v>-2039.93</v>
      </c>
      <c r="M96">
        <v>593.58001708984375</v>
      </c>
      <c r="N96">
        <v>0.13450000000000001</v>
      </c>
      <c r="O96">
        <v>2398.219970703125</v>
      </c>
      <c r="P96">
        <v>0.30919999999999997</v>
      </c>
      <c r="Q96">
        <v>-1804.64</v>
      </c>
      <c r="R96">
        <v>1804.86</v>
      </c>
      <c r="S96">
        <v>7304.77</v>
      </c>
      <c r="T96">
        <v>-5499.91</v>
      </c>
      <c r="U96">
        <v>-2.2000000000000002</v>
      </c>
      <c r="V96">
        <v>3.36</v>
      </c>
      <c r="W96">
        <v>-4.96</v>
      </c>
      <c r="X96">
        <v>0.56999999999999995</v>
      </c>
      <c r="Y96">
        <v>15.54</v>
      </c>
      <c r="Z96">
        <v>-8.82</v>
      </c>
    </row>
    <row r="97" spans="1:26" x14ac:dyDescent="0.35">
      <c r="A97">
        <v>51</v>
      </c>
      <c r="B97" t="s">
        <v>123</v>
      </c>
      <c r="C97">
        <v>165.28999328613281</v>
      </c>
      <c r="D97">
        <v>3.78E-2</v>
      </c>
      <c r="E97">
        <v>307.510009765625</v>
      </c>
      <c r="F97">
        <v>4.53E-2</v>
      </c>
      <c r="G97">
        <v>-142.22</v>
      </c>
      <c r="H97">
        <v>135.1199951171875</v>
      </c>
      <c r="I97">
        <v>3.09E-2</v>
      </c>
      <c r="J97">
        <v>292.25</v>
      </c>
      <c r="K97">
        <v>4.0500000000000001E-2</v>
      </c>
      <c r="L97">
        <v>-157.13</v>
      </c>
      <c r="M97">
        <v>151.77999877929688</v>
      </c>
      <c r="N97">
        <v>3.44E-2</v>
      </c>
      <c r="O97">
        <v>335.30999755859375</v>
      </c>
      <c r="P97">
        <v>4.3200000000000002E-2</v>
      </c>
      <c r="Q97">
        <v>-183.53</v>
      </c>
      <c r="R97">
        <v>452.19</v>
      </c>
      <c r="S97">
        <v>935.07</v>
      </c>
      <c r="T97">
        <v>-482.88</v>
      </c>
      <c r="U97">
        <v>-2.96</v>
      </c>
      <c r="V97">
        <v>4.8899999999999997</v>
      </c>
      <c r="W97">
        <v>-18.25</v>
      </c>
      <c r="X97">
        <v>12.33</v>
      </c>
      <c r="Y97">
        <v>-4.96</v>
      </c>
      <c r="Z97">
        <v>14.73</v>
      </c>
    </row>
    <row r="98" spans="1:26" x14ac:dyDescent="0.35">
      <c r="A98">
        <v>96</v>
      </c>
      <c r="B98" t="s">
        <v>168</v>
      </c>
      <c r="C98">
        <v>337.14999389648438</v>
      </c>
      <c r="D98">
        <v>7.7100000000000002E-2</v>
      </c>
      <c r="E98">
        <v>466.08999633789063</v>
      </c>
      <c r="F98">
        <v>6.8699999999999997E-2</v>
      </c>
      <c r="G98">
        <v>-128.94</v>
      </c>
      <c r="H98">
        <v>159.57000732421875</v>
      </c>
      <c r="I98">
        <v>3.6499999999999998E-2</v>
      </c>
      <c r="J98">
        <v>269.6400146484375</v>
      </c>
      <c r="K98">
        <v>3.7400000000000003E-2</v>
      </c>
      <c r="L98">
        <v>-110.07</v>
      </c>
      <c r="M98">
        <v>176.27000427246094</v>
      </c>
      <c r="N98">
        <v>3.9899999999999998E-2</v>
      </c>
      <c r="O98">
        <v>286.260009765625</v>
      </c>
      <c r="P98">
        <v>3.6900000000000002E-2</v>
      </c>
      <c r="Q98">
        <v>-109.99</v>
      </c>
      <c r="R98">
        <v>672.99</v>
      </c>
      <c r="S98">
        <v>1021.99</v>
      </c>
      <c r="T98">
        <v>-349</v>
      </c>
      <c r="U98">
        <v>-21.1</v>
      </c>
      <c r="V98">
        <v>-17.989999999999998</v>
      </c>
      <c r="W98">
        <v>-52.67</v>
      </c>
      <c r="X98">
        <v>10.47</v>
      </c>
      <c r="Y98">
        <v>-42.15</v>
      </c>
      <c r="Z98">
        <v>6.16</v>
      </c>
    </row>
    <row r="99" spans="1:26" x14ac:dyDescent="0.35">
      <c r="A99">
        <v>78</v>
      </c>
      <c r="B99" t="s">
        <v>150</v>
      </c>
      <c r="C99">
        <v>727.3599853515625</v>
      </c>
      <c r="D99">
        <v>0.16639999999999999</v>
      </c>
      <c r="E99">
        <v>779.79998779296875</v>
      </c>
      <c r="F99">
        <v>0.115</v>
      </c>
      <c r="G99">
        <v>-52.44</v>
      </c>
      <c r="H99">
        <v>740.489990234375</v>
      </c>
      <c r="I99">
        <v>0.16919999999999999</v>
      </c>
      <c r="J99">
        <v>822.0999755859375</v>
      </c>
      <c r="K99">
        <v>0.114</v>
      </c>
      <c r="L99">
        <v>-81.61</v>
      </c>
      <c r="M99">
        <v>878.719970703125</v>
      </c>
      <c r="N99">
        <v>0.1991</v>
      </c>
      <c r="O99">
        <v>1100.4200439453125</v>
      </c>
      <c r="P99">
        <v>0.1419</v>
      </c>
      <c r="Q99">
        <v>-221.7</v>
      </c>
      <c r="R99">
        <v>2346.5700000000002</v>
      </c>
      <c r="S99">
        <v>2702.32</v>
      </c>
      <c r="T99">
        <v>-355.75</v>
      </c>
      <c r="U99">
        <v>10.24</v>
      </c>
      <c r="V99">
        <v>19.64</v>
      </c>
      <c r="W99">
        <v>1.81</v>
      </c>
      <c r="X99">
        <v>18.670000000000002</v>
      </c>
      <c r="Y99">
        <v>5.42</v>
      </c>
      <c r="Z99">
        <v>33.85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0816-88EF-4F91-91FB-6675690FDA5D}">
  <dimension ref="A3:C13"/>
  <sheetViews>
    <sheetView tabSelected="1" workbookViewId="0">
      <selection activeCell="A3" sqref="A3"/>
    </sheetView>
  </sheetViews>
  <sheetFormatPr defaultRowHeight="14.5" x14ac:dyDescent="0.35"/>
  <cols>
    <col min="1" max="1" width="101.90625" bestFit="1" customWidth="1"/>
    <col min="2" max="2" width="19" bestFit="1" customWidth="1"/>
    <col min="3" max="5" width="19.26953125" bestFit="1" customWidth="1"/>
  </cols>
  <sheetData>
    <row r="3" spans="1:3" x14ac:dyDescent="0.35">
      <c r="A3" s="7" t="s">
        <v>180</v>
      </c>
      <c r="B3" t="s">
        <v>181</v>
      </c>
      <c r="C3" t="s">
        <v>182</v>
      </c>
    </row>
    <row r="4" spans="1:3" x14ac:dyDescent="0.35">
      <c r="A4" s="4" t="s">
        <v>145</v>
      </c>
      <c r="B4">
        <v>9939.099609375</v>
      </c>
      <c r="C4">
        <v>5112.64990234375</v>
      </c>
    </row>
    <row r="5" spans="1:3" x14ac:dyDescent="0.35">
      <c r="A5" s="4" t="s">
        <v>82</v>
      </c>
      <c r="B5">
        <v>10994.0302734375</v>
      </c>
      <c r="C5">
        <v>133.13999938964844</v>
      </c>
    </row>
    <row r="6" spans="1:3" x14ac:dyDescent="0.35">
      <c r="A6" s="4" t="s">
        <v>156</v>
      </c>
      <c r="B6">
        <v>34412.51953125</v>
      </c>
      <c r="C6">
        <v>79300.6875</v>
      </c>
    </row>
    <row r="7" spans="1:3" x14ac:dyDescent="0.35">
      <c r="A7" s="4" t="s">
        <v>144</v>
      </c>
      <c r="B7">
        <v>11859.3603515625</v>
      </c>
      <c r="C7">
        <v>18645.6796875</v>
      </c>
    </row>
    <row r="8" spans="1:3" x14ac:dyDescent="0.35">
      <c r="A8" s="4" t="s">
        <v>99</v>
      </c>
      <c r="B8">
        <v>87602.3828125</v>
      </c>
      <c r="C8">
        <v>219053.65625</v>
      </c>
    </row>
    <row r="9" spans="1:3" x14ac:dyDescent="0.35">
      <c r="A9" s="4" t="s">
        <v>143</v>
      </c>
      <c r="B9">
        <v>32853.1015625</v>
      </c>
      <c r="C9">
        <v>78473.546875</v>
      </c>
    </row>
    <row r="10" spans="1:3" x14ac:dyDescent="0.35">
      <c r="A10" s="4" t="s">
        <v>155</v>
      </c>
      <c r="B10">
        <v>30057.0703125</v>
      </c>
      <c r="C10">
        <v>57408.94140625</v>
      </c>
    </row>
    <row r="11" spans="1:3" x14ac:dyDescent="0.35">
      <c r="A11" s="4" t="s">
        <v>101</v>
      </c>
      <c r="B11">
        <v>20311.5</v>
      </c>
      <c r="C11">
        <v>26745.08984375</v>
      </c>
    </row>
    <row r="12" spans="1:3" x14ac:dyDescent="0.35">
      <c r="A12" s="4" t="s">
        <v>102</v>
      </c>
      <c r="B12">
        <v>22105.849609375</v>
      </c>
      <c r="C12">
        <v>2584.669921875</v>
      </c>
    </row>
    <row r="13" spans="1:3" x14ac:dyDescent="0.35">
      <c r="A13" s="4" t="s">
        <v>158</v>
      </c>
      <c r="B13">
        <v>20889.30078125</v>
      </c>
      <c r="C13">
        <v>7609.7900390625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C2B4-F2C1-4AB8-AFAD-31A1D7E52D91}">
  <dimension ref="A1:E41"/>
  <sheetViews>
    <sheetView zoomScaleNormal="100" workbookViewId="0">
      <selection activeCell="F9" sqref="F9"/>
    </sheetView>
  </sheetViews>
  <sheetFormatPr defaultRowHeight="14.5" x14ac:dyDescent="0.35"/>
  <cols>
    <col min="1" max="1" width="12.453125" bestFit="1" customWidth="1"/>
    <col min="2" max="2" width="9.26953125" bestFit="1" customWidth="1"/>
    <col min="3" max="3" width="13.26953125" bestFit="1" customWidth="1"/>
    <col min="4" max="4" width="13.54296875" bestFit="1" customWidth="1"/>
    <col min="5" max="5" width="19.36328125" bestFit="1" customWidth="1"/>
  </cols>
  <sheetData>
    <row r="1" spans="1:5" x14ac:dyDescent="0.35">
      <c r="A1" s="7" t="s">
        <v>173</v>
      </c>
      <c r="B1" s="7" t="s">
        <v>174</v>
      </c>
      <c r="C1" t="s">
        <v>172</v>
      </c>
      <c r="D1" t="s">
        <v>178</v>
      </c>
      <c r="E1" t="s">
        <v>179</v>
      </c>
    </row>
    <row r="2" spans="1:5" x14ac:dyDescent="0.35">
      <c r="A2" t="s">
        <v>12</v>
      </c>
      <c r="B2" s="8" t="s">
        <v>13</v>
      </c>
      <c r="C2">
        <v>34618.44921875</v>
      </c>
      <c r="D2">
        <v>49051.01171875</v>
      </c>
      <c r="E2">
        <v>-14432.5595703125</v>
      </c>
    </row>
    <row r="3" spans="1:5" x14ac:dyDescent="0.35">
      <c r="B3" s="8" t="s">
        <v>17</v>
      </c>
      <c r="C3">
        <v>38284.78125</v>
      </c>
      <c r="D3">
        <v>62035.80859375</v>
      </c>
      <c r="E3">
        <v>-23751.029296875</v>
      </c>
    </row>
    <row r="4" spans="1:5" x14ac:dyDescent="0.35">
      <c r="B4" s="8" t="s">
        <v>21</v>
      </c>
      <c r="C4">
        <v>38391.03125</v>
      </c>
      <c r="D4">
        <v>56914.62109375</v>
      </c>
      <c r="E4">
        <v>-18523.58984375</v>
      </c>
    </row>
    <row r="5" spans="1:5" x14ac:dyDescent="0.35">
      <c r="B5" s="8" t="s">
        <v>23</v>
      </c>
      <c r="C5">
        <v>41405.62109375</v>
      </c>
      <c r="D5">
        <v>59824.05859375</v>
      </c>
      <c r="E5">
        <v>-18418.439453125</v>
      </c>
    </row>
    <row r="6" spans="1:5" x14ac:dyDescent="0.35">
      <c r="B6" s="8" t="s">
        <v>22</v>
      </c>
      <c r="C6">
        <v>37323.80078125</v>
      </c>
      <c r="D6">
        <v>53706.859375</v>
      </c>
      <c r="E6">
        <v>-16383.0595703125</v>
      </c>
    </row>
    <row r="7" spans="1:5" x14ac:dyDescent="0.35">
      <c r="B7" s="8" t="s">
        <v>16</v>
      </c>
      <c r="C7">
        <v>34489.890625</v>
      </c>
      <c r="D7">
        <v>53145.9296875</v>
      </c>
      <c r="E7">
        <v>-18656.0390625</v>
      </c>
    </row>
    <row r="8" spans="1:5" x14ac:dyDescent="0.35">
      <c r="B8" s="8" t="s">
        <v>15</v>
      </c>
      <c r="C8">
        <v>34324.890625</v>
      </c>
      <c r="D8">
        <v>53203.05859375</v>
      </c>
      <c r="E8">
        <v>-18878.1796875</v>
      </c>
    </row>
    <row r="9" spans="1:5" x14ac:dyDescent="0.35">
      <c r="B9" s="8" t="s">
        <v>24</v>
      </c>
      <c r="C9">
        <v>41692.73828125</v>
      </c>
      <c r="D9">
        <v>56638.66015625</v>
      </c>
      <c r="E9">
        <v>-14945.91015625</v>
      </c>
    </row>
    <row r="10" spans="1:5" x14ac:dyDescent="0.35">
      <c r="B10" s="8" t="s">
        <v>14</v>
      </c>
      <c r="C10">
        <v>34953.4296875</v>
      </c>
      <c r="D10">
        <v>57452.921875</v>
      </c>
      <c r="E10">
        <v>-22499.48046875</v>
      </c>
    </row>
    <row r="11" spans="1:5" x14ac:dyDescent="0.35">
      <c r="B11" s="8" t="s">
        <v>20</v>
      </c>
      <c r="C11">
        <v>33745.87890625</v>
      </c>
      <c r="D11">
        <v>54755.73046875</v>
      </c>
      <c r="E11">
        <v>-21009.849609375</v>
      </c>
    </row>
    <row r="12" spans="1:5" x14ac:dyDescent="0.35">
      <c r="B12" s="8" t="s">
        <v>19</v>
      </c>
      <c r="C12">
        <v>33433.5390625</v>
      </c>
      <c r="D12">
        <v>63038.109375</v>
      </c>
      <c r="E12">
        <v>-29604.5703125</v>
      </c>
    </row>
    <row r="13" spans="1:5" x14ac:dyDescent="0.35">
      <c r="B13" s="8" t="s">
        <v>18</v>
      </c>
      <c r="C13">
        <v>34407.98046875</v>
      </c>
      <c r="D13">
        <v>54225.19140625</v>
      </c>
      <c r="E13">
        <v>-19817.2109375</v>
      </c>
    </row>
    <row r="14" spans="1:5" x14ac:dyDescent="0.35">
      <c r="A14" t="s">
        <v>175</v>
      </c>
      <c r="C14">
        <v>437072.03125</v>
      </c>
      <c r="D14">
        <v>673991.9609375</v>
      </c>
      <c r="E14">
        <v>-236919.91796875</v>
      </c>
    </row>
    <row r="15" spans="1:5" x14ac:dyDescent="0.35">
      <c r="A15" t="s">
        <v>25</v>
      </c>
      <c r="B15" s="8" t="s">
        <v>13</v>
      </c>
      <c r="C15">
        <v>39802.46875</v>
      </c>
      <c r="D15">
        <v>54488.05078125</v>
      </c>
      <c r="E15">
        <v>-14685.5703125</v>
      </c>
    </row>
    <row r="16" spans="1:5" x14ac:dyDescent="0.35">
      <c r="B16" s="8" t="s">
        <v>17</v>
      </c>
      <c r="C16">
        <v>32890.08984375</v>
      </c>
      <c r="D16">
        <v>68509.796875</v>
      </c>
      <c r="E16">
        <v>-35619.7109375</v>
      </c>
    </row>
    <row r="17" spans="1:5" x14ac:dyDescent="0.35">
      <c r="B17" s="8" t="s">
        <v>21</v>
      </c>
      <c r="C17">
        <v>37804.05078125</v>
      </c>
      <c r="D17">
        <v>58433.0390625</v>
      </c>
      <c r="E17">
        <v>-20628.990234375</v>
      </c>
    </row>
    <row r="18" spans="1:5" x14ac:dyDescent="0.35">
      <c r="B18" s="8" t="s">
        <v>23</v>
      </c>
      <c r="C18">
        <v>36910.921875</v>
      </c>
      <c r="D18">
        <v>51328.9296875</v>
      </c>
      <c r="E18">
        <v>-14418.009765625</v>
      </c>
    </row>
    <row r="19" spans="1:5" x14ac:dyDescent="0.35">
      <c r="B19" s="8" t="s">
        <v>22</v>
      </c>
      <c r="C19">
        <v>36338.51171875</v>
      </c>
      <c r="D19">
        <v>59767.98046875</v>
      </c>
      <c r="E19">
        <v>-23429.470703125</v>
      </c>
    </row>
    <row r="20" spans="1:5" x14ac:dyDescent="0.35">
      <c r="B20" s="8" t="s">
        <v>16</v>
      </c>
      <c r="C20">
        <v>32679.529296875</v>
      </c>
      <c r="D20">
        <v>59473.5390625</v>
      </c>
      <c r="E20">
        <v>-26794.009765625</v>
      </c>
    </row>
    <row r="21" spans="1:5" x14ac:dyDescent="0.35">
      <c r="B21" s="8" t="s">
        <v>15</v>
      </c>
      <c r="C21">
        <v>35445.828125</v>
      </c>
      <c r="D21">
        <v>55997.0703125</v>
      </c>
      <c r="E21">
        <v>-20551.240234375</v>
      </c>
    </row>
    <row r="22" spans="1:5" x14ac:dyDescent="0.35">
      <c r="B22" s="8" t="s">
        <v>24</v>
      </c>
      <c r="C22">
        <v>42047.6015625</v>
      </c>
      <c r="D22">
        <v>63740.26953125</v>
      </c>
      <c r="E22">
        <v>-21692.669921875</v>
      </c>
    </row>
    <row r="23" spans="1:5" x14ac:dyDescent="0.35">
      <c r="B23" s="8" t="s">
        <v>14</v>
      </c>
      <c r="C23">
        <v>38780.80078125</v>
      </c>
      <c r="D23">
        <v>61675.19140625</v>
      </c>
      <c r="E23">
        <v>-22894.390625</v>
      </c>
    </row>
    <row r="24" spans="1:5" x14ac:dyDescent="0.35">
      <c r="B24" s="8" t="s">
        <v>20</v>
      </c>
      <c r="C24">
        <v>31942.51953125</v>
      </c>
      <c r="D24">
        <v>63928.51171875</v>
      </c>
      <c r="E24">
        <v>-31985.990234375</v>
      </c>
    </row>
    <row r="25" spans="1:5" x14ac:dyDescent="0.35">
      <c r="B25" s="8" t="s">
        <v>19</v>
      </c>
      <c r="C25">
        <v>38983.078125</v>
      </c>
      <c r="D25">
        <v>65069.51953125</v>
      </c>
      <c r="E25">
        <v>-26086.439453125</v>
      </c>
    </row>
    <row r="26" spans="1:5" x14ac:dyDescent="0.35">
      <c r="B26" s="8" t="s">
        <v>18</v>
      </c>
      <c r="C26">
        <v>34079.1796875</v>
      </c>
      <c r="D26">
        <v>58719.62890625</v>
      </c>
      <c r="E26">
        <v>-24640.44921875</v>
      </c>
    </row>
    <row r="27" spans="1:5" x14ac:dyDescent="0.35">
      <c r="A27" t="s">
        <v>176</v>
      </c>
      <c r="C27">
        <v>437704.580078125</v>
      </c>
      <c r="D27">
        <v>721131.52734375</v>
      </c>
      <c r="E27">
        <v>-283426.94140625</v>
      </c>
    </row>
    <row r="28" spans="1:5" x14ac:dyDescent="0.35">
      <c r="A28" t="s">
        <v>26</v>
      </c>
      <c r="B28" s="8" t="s">
        <v>13</v>
      </c>
      <c r="C28">
        <v>38283.76953125</v>
      </c>
      <c r="D28">
        <v>65381.30078125</v>
      </c>
      <c r="E28">
        <v>-27097.529296875</v>
      </c>
    </row>
    <row r="29" spans="1:5" x14ac:dyDescent="0.35">
      <c r="B29" s="8" t="s">
        <v>17</v>
      </c>
      <c r="C29">
        <v>34770.19921875</v>
      </c>
      <c r="D29">
        <v>61975.69921875</v>
      </c>
      <c r="E29">
        <v>-27205.490234375</v>
      </c>
    </row>
    <row r="30" spans="1:5" x14ac:dyDescent="0.35">
      <c r="B30" s="8" t="s">
        <v>21</v>
      </c>
      <c r="C30">
        <v>38238.328125</v>
      </c>
      <c r="D30">
        <v>64476.0390625</v>
      </c>
      <c r="E30">
        <v>-26237.7109375</v>
      </c>
    </row>
    <row r="31" spans="1:5" x14ac:dyDescent="0.35">
      <c r="B31" s="8" t="s">
        <v>23</v>
      </c>
      <c r="C31">
        <v>36619.66015625</v>
      </c>
      <c r="D31">
        <v>63709.078125</v>
      </c>
      <c r="E31">
        <v>-27089.41015625</v>
      </c>
    </row>
    <row r="32" spans="1:5" x14ac:dyDescent="0.35">
      <c r="B32" s="8" t="s">
        <v>22</v>
      </c>
      <c r="C32">
        <v>36474.16015625</v>
      </c>
      <c r="D32">
        <v>71226.6328125</v>
      </c>
      <c r="E32">
        <v>-34752.46875</v>
      </c>
    </row>
    <row r="33" spans="1:5" x14ac:dyDescent="0.35">
      <c r="B33" s="8" t="s">
        <v>16</v>
      </c>
      <c r="C33">
        <v>37017.6484375</v>
      </c>
      <c r="D33">
        <v>64885.23828125</v>
      </c>
      <c r="E33">
        <v>-27867.58984375</v>
      </c>
    </row>
    <row r="34" spans="1:5" x14ac:dyDescent="0.35">
      <c r="B34" s="8" t="s">
        <v>15</v>
      </c>
      <c r="C34">
        <v>34978.8515625</v>
      </c>
      <c r="D34">
        <v>54076.2890625</v>
      </c>
      <c r="E34">
        <v>-19097.439453125</v>
      </c>
    </row>
    <row r="35" spans="1:5" x14ac:dyDescent="0.35">
      <c r="B35" s="8" t="s">
        <v>24</v>
      </c>
      <c r="C35">
        <v>38918.609375</v>
      </c>
      <c r="D35">
        <v>59588.69921875</v>
      </c>
      <c r="E35">
        <v>-20670.08984375</v>
      </c>
    </row>
    <row r="36" spans="1:5" x14ac:dyDescent="0.35">
      <c r="B36" s="8" t="s">
        <v>14</v>
      </c>
      <c r="C36">
        <v>38303.58984375</v>
      </c>
      <c r="D36">
        <v>60855.30078125</v>
      </c>
      <c r="E36">
        <v>-22551.7109375</v>
      </c>
    </row>
    <row r="37" spans="1:5" x14ac:dyDescent="0.35">
      <c r="B37" s="8" t="s">
        <v>20</v>
      </c>
      <c r="C37">
        <v>37879.7109375</v>
      </c>
      <c r="D37">
        <v>62981.1796875</v>
      </c>
      <c r="E37">
        <v>-25101.4609375</v>
      </c>
    </row>
    <row r="38" spans="1:5" x14ac:dyDescent="0.35">
      <c r="B38" s="8" t="s">
        <v>19</v>
      </c>
      <c r="C38">
        <v>34111.48828125</v>
      </c>
      <c r="D38">
        <v>76727.75</v>
      </c>
      <c r="E38">
        <v>-42616.26171875</v>
      </c>
    </row>
    <row r="39" spans="1:5" x14ac:dyDescent="0.35">
      <c r="B39" s="8" t="s">
        <v>18</v>
      </c>
      <c r="C39">
        <v>36134.08984375</v>
      </c>
      <c r="D39">
        <v>69094.9765625</v>
      </c>
      <c r="E39">
        <v>-32960.890625</v>
      </c>
    </row>
    <row r="40" spans="1:5" x14ac:dyDescent="0.35">
      <c r="A40" t="s">
        <v>177</v>
      </c>
      <c r="C40">
        <v>441730.10546875</v>
      </c>
      <c r="D40">
        <v>774978.18359375</v>
      </c>
      <c r="E40">
        <v>-333248.052734375</v>
      </c>
    </row>
    <row r="41" spans="1:5" x14ac:dyDescent="0.35">
      <c r="A41" t="s">
        <v>171</v>
      </c>
      <c r="C41">
        <v>1316506.716796875</v>
      </c>
      <c r="D41">
        <v>2170101.671875</v>
      </c>
      <c r="E41">
        <v>-853594.912109375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1F3D074-F253-4E73-A59B-2467CF3F6643}">
  <ds:schemaRefs>
    <ds:schemaRef ds:uri="http://schemas.microsoft.com/DataMashup"/>
  </ds:schemaRefs>
</ds:datastoreItem>
</file>

<file path=customXml/itemProps2.xml><?xml version="1.0" encoding="utf-8"?>
<ds:datastoreItem xmlns:ds="http://schemas.openxmlformats.org/officeDocument/2006/customXml" ds:itemID="{F41D8702-556F-4D8C-B493-F10C9D17746E}">
  <ds:schemaRefs/>
</ds:datastoreItem>
</file>

<file path=customXml/itemProps3.xml><?xml version="1.0" encoding="utf-8"?>
<ds:datastoreItem xmlns:ds="http://schemas.openxmlformats.org/officeDocument/2006/customXml" ds:itemID="{A00B10CF-D952-4315-A013-C63003CB34AF}">
  <ds:schemaRefs/>
</ds:datastoreItem>
</file>

<file path=customXml/itemProps4.xml><?xml version="1.0" encoding="utf-8"?>
<ds:datastoreItem xmlns:ds="http://schemas.openxmlformats.org/officeDocument/2006/customXml" ds:itemID="{B41DE022-8FDB-4AC5-B655-1113ABF56489}">
  <ds:schemaRefs/>
</ds:datastoreItem>
</file>

<file path=customXml/itemProps5.xml><?xml version="1.0" encoding="utf-8"?>
<ds:datastoreItem xmlns:ds="http://schemas.openxmlformats.org/officeDocument/2006/customXml" ds:itemID="{5E321A2D-233D-44D4-AD01-A336294566E4}">
  <ds:schemaRefs/>
</ds:datastoreItem>
</file>

<file path=customXml/itemProps6.xml><?xml version="1.0" encoding="utf-8"?>
<ds:datastoreItem xmlns:ds="http://schemas.openxmlformats.org/officeDocument/2006/customXml" ds:itemID="{0DEDEEBF-36C8-4F0E-9379-6D59F8424D49}">
  <ds:schemaRefs/>
</ds:datastoreItem>
</file>

<file path=customXml/itemProps7.xml><?xml version="1.0" encoding="utf-8"?>
<ds:datastoreItem xmlns:ds="http://schemas.openxmlformats.org/officeDocument/2006/customXml" ds:itemID="{C3FDAA74-7F54-4918-8C72-05A27DF3BF4A}">
  <ds:schemaRefs/>
</ds:datastoreItem>
</file>

<file path=customXml/itemProps8.xml><?xml version="1.0" encoding="utf-8"?>
<ds:datastoreItem xmlns:ds="http://schemas.openxmlformats.org/officeDocument/2006/customXml" ds:itemID="{8A29B7B0-2775-4465-8633-047E64B6B54F}">
  <ds:schemaRefs/>
</ds:datastoreItem>
</file>

<file path=customXml/itemProps9.xml><?xml version="1.0" encoding="utf-8"?>
<ds:datastoreItem xmlns:ds="http://schemas.openxmlformats.org/officeDocument/2006/customXml" ds:itemID="{7C57DA16-11F2-4B0B-B310-694DA553F827}">
  <ds:schemaRefs/>
</ds:datastoreItem>
</file>

<file path=customXml/itemProps10.xml><?xml version="1.0" encoding="utf-8"?>
<ds:datastoreItem xmlns:ds="http://schemas.openxmlformats.org/officeDocument/2006/customXml" ds:itemID="{A203D6DF-0EE7-47C9-A5C0-4B25B1AD31E6}">
  <ds:schemaRefs/>
</ds:datastoreItem>
</file>

<file path=customXml/itemProps11.xml><?xml version="1.0" encoding="utf-8"?>
<ds:datastoreItem xmlns:ds="http://schemas.openxmlformats.org/officeDocument/2006/customXml" ds:itemID="{0C09B9F1-0A77-4CB4-83A5-9790840BA7D1}">
  <ds:schemaRefs/>
</ds:datastoreItem>
</file>

<file path=customXml/itemProps12.xml><?xml version="1.0" encoding="utf-8"?>
<ds:datastoreItem xmlns:ds="http://schemas.openxmlformats.org/officeDocument/2006/customXml" ds:itemID="{1DDFFE17-9460-482A-9BD2-FF0AFE4E42FC}">
  <ds:schemaRefs/>
</ds:datastoreItem>
</file>

<file path=customXml/itemProps13.xml><?xml version="1.0" encoding="utf-8"?>
<ds:datastoreItem xmlns:ds="http://schemas.openxmlformats.org/officeDocument/2006/customXml" ds:itemID="{ACA5BB99-A04B-4EEB-8152-F1999BF5496A}">
  <ds:schemaRefs/>
</ds:datastoreItem>
</file>

<file path=customXml/itemProps14.xml><?xml version="1.0" encoding="utf-8"?>
<ds:datastoreItem xmlns:ds="http://schemas.openxmlformats.org/officeDocument/2006/customXml" ds:itemID="{2CD28A09-EA88-4906-AAFF-8A7A23B8CEF9}">
  <ds:schemaRefs/>
</ds:datastoreItem>
</file>

<file path=customXml/itemProps15.xml><?xml version="1.0" encoding="utf-8"?>
<ds:datastoreItem xmlns:ds="http://schemas.openxmlformats.org/officeDocument/2006/customXml" ds:itemID="{B376A50B-1CAD-4635-BCE1-C17EB30D6D83}">
  <ds:schemaRefs/>
</ds:datastoreItem>
</file>

<file path=customXml/itemProps16.xml><?xml version="1.0" encoding="utf-8"?>
<ds:datastoreItem xmlns:ds="http://schemas.openxmlformats.org/officeDocument/2006/customXml" ds:itemID="{46145917-C27C-4C62-87FB-433204978549}">
  <ds:schemaRefs/>
</ds:datastoreItem>
</file>

<file path=customXml/itemProps17.xml><?xml version="1.0" encoding="utf-8"?>
<ds:datastoreItem xmlns:ds="http://schemas.openxmlformats.org/officeDocument/2006/customXml" ds:itemID="{E1BE68E7-AA08-46B7-AAE7-B74ACE014D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forex_info</vt:lpstr>
      <vt:lpstr>Forex_info visualization</vt:lpstr>
      <vt:lpstr>FDI_countries</vt:lpstr>
      <vt:lpstr>fdi_of_country (2)</vt:lpstr>
      <vt:lpstr>final_trade (2)</vt:lpstr>
      <vt:lpstr>Trade item visuals</vt:lpstr>
      <vt:lpstr>trading 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sain</dc:creator>
  <cp:lastModifiedBy>harsh sain</cp:lastModifiedBy>
  <dcterms:created xsi:type="dcterms:W3CDTF">2026-09-02T04:14:40Z</dcterms:created>
  <dcterms:modified xsi:type="dcterms:W3CDTF">2026-09-18T05:01:04Z</dcterms:modified>
</cp:coreProperties>
</file>